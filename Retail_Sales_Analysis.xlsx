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https://d.docs.live.net/c39b14f1a40bd2bc/Desktop/Retail_Sales_Analysis/"/>
    </mc:Choice>
  </mc:AlternateContent>
  <xr:revisionPtr revIDLastSave="818" documentId="8_{4DBA87D1-40BB-4926-B965-70D5B126C5C0}" xr6:coauthVersionLast="47" xr6:coauthVersionMax="47" xr10:uidLastSave="{177E729F-17BD-4689-B53A-C9CA7CDE77C1}"/>
  <bookViews>
    <workbookView xWindow="-108" yWindow="-108" windowWidth="23256" windowHeight="12456" firstSheet="3" activeTab="3" xr2:uid="{4277DA71-7A9E-45F2-92C7-4030F78FFFE3}"/>
  </bookViews>
  <sheets>
    <sheet name="Sales_by_Product" sheetId="4" r:id="rId1"/>
    <sheet name="Sales_by_Region" sheetId="5" r:id="rId2"/>
    <sheet name="Profit_by_Product" sheetId="8" r:id="rId3"/>
    <sheet name="Dash board" sheetId="9" r:id="rId4"/>
    <sheet name="Analysis" sheetId="17" r:id="rId5"/>
    <sheet name="Sheet1" sheetId="10" r:id="rId6"/>
    <sheet name="Sheet7" sheetId="16" r:id="rId7"/>
    <sheet name="Raw_Data" sheetId="2" r:id="rId8"/>
  </sheets>
  <definedNames>
    <definedName name="ExternalData_1" localSheetId="7" hidden="1">Raw_Data!$A$1:$H$17</definedName>
    <definedName name="Slicer_Category">#N/A</definedName>
    <definedName name="Slicer_Product">#N/A</definedName>
  </definedNames>
  <calcPr calcId="191029"/>
  <pivotCaches>
    <pivotCache cacheId="13"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6" i="2" l="1"/>
  <c r="A18" i="2"/>
  <c r="I2" i="2"/>
  <c r="I3" i="2"/>
  <c r="I4" i="2"/>
  <c r="I5" i="2"/>
  <c r="I6" i="2"/>
  <c r="I7" i="2"/>
  <c r="I8" i="2"/>
  <c r="I9" i="2"/>
  <c r="I10" i="2"/>
  <c r="I11" i="2"/>
  <c r="I12" i="2"/>
  <c r="I13" i="2"/>
  <c r="I14" i="2"/>
  <c r="I15" i="2"/>
  <c r="B10" i="17"/>
  <c r="B9" i="17"/>
  <c r="B8" i="17"/>
  <c r="J3" i="2"/>
  <c r="J4" i="2"/>
  <c r="J5" i="2"/>
  <c r="J6" i="2"/>
  <c r="J7" i="2"/>
  <c r="J8" i="2"/>
  <c r="J9" i="2"/>
  <c r="J10" i="2"/>
  <c r="J11" i="2"/>
  <c r="J12" i="2"/>
  <c r="J13" i="2"/>
  <c r="J14" i="2"/>
  <c r="J15" i="2"/>
  <c r="J16" i="2"/>
  <c r="J2" i="2"/>
  <c r="B5" i="17"/>
  <c r="G4" i="9" s="1"/>
  <c r="B4" i="17"/>
  <c r="E4" i="9" s="1"/>
  <c r="B3" i="17"/>
  <c r="B2" i="17"/>
  <c r="A4" i="9" s="1"/>
  <c r="A24" i="2"/>
  <c r="A25" i="2"/>
  <c r="A26" i="2"/>
  <c r="A27" i="2"/>
  <c r="A28" i="2"/>
  <c r="A29" i="2"/>
  <c r="A30" i="2"/>
  <c r="A31" i="2"/>
  <c r="A32" i="2"/>
  <c r="A19" i="2"/>
  <c r="A20" i="2"/>
  <c r="A21" i="2"/>
  <c r="A22" i="2"/>
  <c r="A23" i="2"/>
  <c r="C4" i="9" l="1"/>
  <c r="B6" i="17"/>
  <c r="I4" i="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ED99FD-A564-4C59-8F39-92847D687364}" keepAlive="1" name="Query - retail_sales_data" description="Connection to the 'retail_sales_data' query in the workbook." type="5" refreshedVersion="8" background="1" saveData="1">
    <dbPr connection="Provider=Microsoft.Mashup.OleDb.1;Data Source=$Workbook$;Location=retail_sales_data;Extended Properties=&quot;&quot;" command="SELECT * FROM [retail_sales_data]"/>
  </connection>
</connections>
</file>

<file path=xl/sharedStrings.xml><?xml version="1.0" encoding="utf-8"?>
<sst xmlns="http://schemas.openxmlformats.org/spreadsheetml/2006/main" count="110" uniqueCount="41">
  <si>
    <t>Order_ID</t>
  </si>
  <si>
    <t>Order_Date</t>
  </si>
  <si>
    <t>Product</t>
  </si>
  <si>
    <t>Category</t>
  </si>
  <si>
    <t>Region</t>
  </si>
  <si>
    <t>Quantity</t>
  </si>
  <si>
    <t>Sales_Amount</t>
  </si>
  <si>
    <t>Profit</t>
  </si>
  <si>
    <t>Laptop</t>
  </si>
  <si>
    <t>Electronics</t>
  </si>
  <si>
    <t>Hyderabad</t>
  </si>
  <si>
    <t>Mouse</t>
  </si>
  <si>
    <t>Accessories</t>
  </si>
  <si>
    <t>Warangal</t>
  </si>
  <si>
    <t>Monitor</t>
  </si>
  <si>
    <t>Keyboard</t>
  </si>
  <si>
    <t>Karimnagar</t>
  </si>
  <si>
    <t>Total Sales</t>
  </si>
  <si>
    <t>Total Profit</t>
  </si>
  <si>
    <t>Row Labels</t>
  </si>
  <si>
    <t>Grand Total</t>
  </si>
  <si>
    <t>Sum of Sales_Amount</t>
  </si>
  <si>
    <t>RETAIL SALES &amp; PROFIT ANALYSIS</t>
  </si>
  <si>
    <t>Total Orders</t>
  </si>
  <si>
    <t>Total Quantity</t>
  </si>
  <si>
    <t>Profit_Margin</t>
  </si>
  <si>
    <t>Profit Margin</t>
  </si>
  <si>
    <t>Jan</t>
  </si>
  <si>
    <t>Feb</t>
  </si>
  <si>
    <t>Mar</t>
  </si>
  <si>
    <t>KEY BUSINESS INSIGHTS</t>
  </si>
  <si>
    <r>
      <rPr>
        <b/>
        <sz val="14"/>
        <color theme="1"/>
        <rFont val="Calibri"/>
        <family val="2"/>
        <scheme val="minor"/>
      </rPr>
      <t>📈 Overall profit margin:</t>
    </r>
    <r>
      <rPr>
        <sz val="11"/>
        <color theme="1"/>
        <rFont val="Calibri"/>
        <family val="2"/>
        <scheme val="minor"/>
      </rPr>
      <t xml:space="preserve"> 11.51% (approximately 12%).</t>
    </r>
  </si>
  <si>
    <r>
      <t>🏆 Top-selling product:</t>
    </r>
    <r>
      <rPr>
        <sz val="14"/>
        <color theme="1"/>
        <rFont val="Calibri"/>
        <family val="2"/>
        <scheme val="minor"/>
      </rPr>
      <t xml:space="preserve"> Laptop — ₹2,40,000 in sales.</t>
    </r>
  </si>
  <si>
    <r>
      <t>💰 Highest-profit product:</t>
    </r>
    <r>
      <rPr>
        <sz val="14"/>
        <color theme="1"/>
        <rFont val="Calibri"/>
        <family val="2"/>
        <scheme val="minor"/>
      </rPr>
      <t xml:space="preserve"> Laptop — ₹24,000 in profit.</t>
    </r>
  </si>
  <si>
    <t>Metric</t>
  </si>
  <si>
    <t>Value</t>
  </si>
  <si>
    <t>Profit Status</t>
  </si>
  <si>
    <r>
      <t xml:space="preserve">   📅 </t>
    </r>
    <r>
      <rPr>
        <b/>
        <sz val="14"/>
        <color theme="1"/>
        <rFont val="Calibri"/>
        <family val="2"/>
        <scheme val="minor"/>
      </rPr>
      <t>Best-performing month:</t>
    </r>
    <r>
      <rPr>
        <sz val="14"/>
        <color theme="1"/>
        <rFont val="Calibri"/>
        <family val="2"/>
        <scheme val="minor"/>
      </rPr>
      <t xml:space="preserve"> March — ₹1,43,000 in sales.</t>
    </r>
  </si>
  <si>
    <r>
      <t>📍 Best-performing region:</t>
    </r>
    <r>
      <rPr>
        <sz val="14"/>
        <color theme="1"/>
        <rFont val="Calibri"/>
        <family val="2"/>
        <scheme val="minor"/>
      </rPr>
      <t xml:space="preserve"> Hyderabad — ₹1,73,000 in sales.</t>
    </r>
  </si>
  <si>
    <t>(blank)</t>
  </si>
  <si>
    <t>&lt;05-01-2026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</si>
</sst>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43" formatCode="_ * #,##0.00_ ;_ * \-#,##0.00_ ;_ * &quot;-&quot;??_ ;_ @_ "/>
    <numFmt numFmtId="164" formatCode="_ * #,##0_ ;_ * \-#,##0_ ;_ * &quot;-&quot;??_ ;_ @_ "/>
    <numFmt numFmtId="165" formatCode="&quot;₹&quot;\ #,##0"/>
    <numFmt numFmtId="166" formatCode="_ [$₹-4009]\ * #,##0_ ;_ [$₹-4009]\ * \-#,##0_ ;_ [$₹-4009]\ * &quot;-&quot;??_ ;_ @_ "/>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theme="0"/>
      <name val="Calibri"/>
      <family val="2"/>
      <scheme val="minor"/>
    </font>
    <font>
      <b/>
      <sz val="20"/>
      <color theme="1"/>
      <name val="Calibri"/>
      <family val="2"/>
      <scheme val="minor"/>
    </font>
    <font>
      <b/>
      <sz val="20"/>
      <color rgb="FF00FFCC"/>
      <name val="Calibri"/>
      <family val="2"/>
      <scheme val="minor"/>
    </font>
    <font>
      <b/>
      <sz val="11"/>
      <color rgb="FF00FFCC"/>
      <name val="Calibri"/>
      <family val="2"/>
      <scheme val="minor"/>
    </font>
    <font>
      <sz val="14"/>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9"/>
        <bgColor theme="9"/>
      </patternFill>
    </fill>
    <fill>
      <patternFill patternType="solid">
        <fgColor rgb="FF002060"/>
        <bgColor indexed="64"/>
      </patternFill>
    </fill>
  </fills>
  <borders count="2">
    <border>
      <left/>
      <right/>
      <top/>
      <bottom/>
      <diagonal/>
    </border>
    <border>
      <left/>
      <right style="thin">
        <color theme="9" tint="0.39997558519241921"/>
      </right>
      <top style="thin">
        <color theme="9" tint="0.39997558519241921"/>
      </top>
      <bottom style="thin">
        <color theme="9" tint="0.3999755851924192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6">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0" borderId="0" xfId="0" applyFont="1"/>
    <xf numFmtId="0" fontId="3" fillId="0" borderId="0" xfId="0" applyFont="1"/>
    <xf numFmtId="164" fontId="3" fillId="0" borderId="0" xfId="1" applyNumberFormat="1" applyFont="1"/>
    <xf numFmtId="9" fontId="0" fillId="0" borderId="0" xfId="2" applyFont="1"/>
    <xf numFmtId="0" fontId="2" fillId="0" borderId="0" xfId="0" applyFont="1" applyAlignment="1">
      <alignment horizontal="left" vertical="center" indent="1"/>
    </xf>
    <xf numFmtId="0" fontId="0" fillId="0" borderId="0" xfId="0" applyAlignment="1">
      <alignment horizontal="left" vertical="center" indent="1"/>
    </xf>
    <xf numFmtId="0" fontId="4" fillId="2" borderId="1" xfId="0" applyFont="1" applyFill="1" applyBorder="1"/>
    <xf numFmtId="0" fontId="7" fillId="3" borderId="0" xfId="0" applyFont="1" applyFill="1"/>
    <xf numFmtId="0" fontId="0" fillId="3" borderId="0" xfId="0" applyFill="1"/>
    <xf numFmtId="0" fontId="3" fillId="0" borderId="0" xfId="0" applyFont="1" applyAlignment="1">
      <alignment horizontal="left" vertical="center" indent="1"/>
    </xf>
    <xf numFmtId="9" fontId="1" fillId="0" borderId="0" xfId="0" applyNumberFormat="1" applyFont="1"/>
    <xf numFmtId="165" fontId="0" fillId="0" borderId="0" xfId="0" applyNumberFormat="1"/>
    <xf numFmtId="166" fontId="0" fillId="0" borderId="0" xfId="0" applyNumberFormat="1"/>
    <xf numFmtId="1" fontId="0" fillId="0" borderId="0" xfId="0" applyNumberFormat="1"/>
    <xf numFmtId="10" fontId="0" fillId="0" borderId="0" xfId="0" applyNumberFormat="1"/>
    <xf numFmtId="10" fontId="3" fillId="0" borderId="0" xfId="0" applyNumberFormat="1" applyFont="1"/>
    <xf numFmtId="0" fontId="6" fillId="3" borderId="0" xfId="0" applyFont="1" applyFill="1" applyAlignment="1">
      <alignment horizontal="center" wrapText="1"/>
    </xf>
    <xf numFmtId="0" fontId="5" fillId="3" borderId="0" xfId="0" applyFont="1" applyFill="1" applyAlignment="1">
      <alignment horizontal="center" wrapText="1"/>
    </xf>
    <xf numFmtId="0" fontId="0" fillId="0" borderId="0" xfId="0" applyNumberFormat="1"/>
    <xf numFmtId="6" fontId="0" fillId="0" borderId="0" xfId="0" applyNumberFormat="1"/>
    <xf numFmtId="0" fontId="9" fillId="0" borderId="0" xfId="0" applyFont="1"/>
    <xf numFmtId="0" fontId="8" fillId="0" borderId="0" xfId="0" applyFont="1"/>
  </cellXfs>
  <cellStyles count="3">
    <cellStyle name="Comma" xfId="1" builtinId="3"/>
    <cellStyle name="Normal" xfId="0" builtinId="0"/>
    <cellStyle name="Percent" xfId="2" builtinId="5"/>
  </cellStyles>
  <dxfs count="11">
    <dxf>
      <font>
        <color rgb="FF006100"/>
      </font>
      <fill>
        <patternFill>
          <bgColor rgb="FFC6EFCE"/>
        </patternFill>
      </fill>
    </dxf>
    <dxf>
      <fill>
        <patternFill>
          <bgColor theme="9" tint="0.59996337778862885"/>
        </patternFill>
      </fill>
    </dxf>
    <dxf>
      <font>
        <color rgb="FF9C0006"/>
      </font>
      <fill>
        <patternFill>
          <bgColor rgb="FFFFC7CE"/>
        </patternFill>
      </fill>
    </dxf>
    <dxf>
      <fill>
        <patternFill>
          <bgColor theme="9" tint="0.79998168889431442"/>
        </patternFill>
      </fill>
    </dxf>
    <dxf>
      <numFmt numFmtId="0" formatCode="General"/>
    </dxf>
    <dxf>
      <numFmt numFmtId="0" formatCode="General"/>
    </dxf>
    <dxf>
      <numFmt numFmtId="0" formatCode="General"/>
    </dxf>
    <dxf>
      <numFmt numFmtId="0" formatCode="General"/>
    </dxf>
    <dxf>
      <numFmt numFmtId="19" formatCode="dd/mm/yyyy"/>
    </dxf>
    <dxf>
      <numFmt numFmtId="19" formatCode="dd/mm/yyyy"/>
    </dxf>
    <dxf>
      <font>
        <b val="0"/>
        <i val="0"/>
        <strike val="0"/>
        <condense val="0"/>
        <extend val="0"/>
        <outline val="0"/>
        <shadow val="0"/>
        <u val="none"/>
        <vertAlign val="baseline"/>
        <sz val="11"/>
        <color theme="1"/>
        <name val="Calibri"/>
        <family val="2"/>
        <scheme val="minor"/>
      </font>
      <numFmt numFmtId="13" formatCode="0%"/>
    </dxf>
  </dxfs>
  <tableStyles count="0" defaultTableStyle="TableStyleMedium2" defaultPivotStyle="PivotStyleLight16"/>
  <colors>
    <mruColors>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[Retail_Sales_Analysis.xlsx]Sales_by_Product!PivotTable2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 sales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Sales_by_Product!$B$3</c:f>
              <c:strCache>
                <c:ptCount val="1"/>
                <c:pt idx="0">
                  <c:v>Total</c:v>
                </c:pt>
              </c:strCache>
            </c:strRef>
          </c:tx>
          <c:spPr>
            <a:solidFill>
              <a:schemeClr val="accent1"/>
            </a:solidFill>
            <a:ln>
              <a:noFill/>
            </a:ln>
            <a:effectLst/>
          </c:spPr>
          <c:invertIfNegative val="0"/>
          <c:cat>
            <c:strRef>
              <c:f>Sales_by_Product!$A$4:$A$8</c:f>
              <c:strCache>
                <c:ptCount val="4"/>
                <c:pt idx="0">
                  <c:v>Hyderabad</c:v>
                </c:pt>
                <c:pt idx="1">
                  <c:v>Karimnagar</c:v>
                </c:pt>
                <c:pt idx="2">
                  <c:v>Warangal</c:v>
                </c:pt>
                <c:pt idx="3">
                  <c:v>(blank)</c:v>
                </c:pt>
              </c:strCache>
            </c:strRef>
          </c:cat>
          <c:val>
            <c:numRef>
              <c:f>Sales_by_Product!$B$4:$B$8</c:f>
              <c:numCache>
                <c:formatCode>General</c:formatCode>
                <c:ptCount val="4"/>
                <c:pt idx="0">
                  <c:v>182000</c:v>
                </c:pt>
                <c:pt idx="1">
                  <c:v>112500</c:v>
                </c:pt>
                <c:pt idx="2">
                  <c:v>62500</c:v>
                </c:pt>
              </c:numCache>
            </c:numRef>
          </c:val>
          <c:extLst>
            <c:ext xmlns:c16="http://schemas.microsoft.com/office/drawing/2014/chart" uri="{C3380CC4-5D6E-409C-BE32-E72D297353CC}">
              <c16:uniqueId val="{00000000-181E-4DE3-83EB-8C571D21617D}"/>
            </c:ext>
          </c:extLst>
        </c:ser>
        <c:dLbls>
          <c:showLegendKey val="0"/>
          <c:showVal val="0"/>
          <c:showCatName val="0"/>
          <c:showSerName val="0"/>
          <c:showPercent val="0"/>
          <c:showBubbleSize val="0"/>
        </c:dLbls>
        <c:gapWidth val="219"/>
        <c:overlap val="-27"/>
        <c:axId val="1983654720"/>
        <c:axId val="1495142896"/>
      </c:barChart>
      <c:catAx>
        <c:axId val="198365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142896"/>
        <c:crosses val="autoZero"/>
        <c:auto val="1"/>
        <c:lblAlgn val="ctr"/>
        <c:lblOffset val="100"/>
        <c:noMultiLvlLbl val="0"/>
      </c:catAx>
      <c:valAx>
        <c:axId val="149514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65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[Retail_Sales_Analysis.xlsx]Sales_by_Region!PivotTable17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Analysis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Sales_by_Region!$B$1</c:f>
              <c:strCache>
                <c:ptCount val="1"/>
                <c:pt idx="0">
                  <c:v>Total</c:v>
                </c:pt>
              </c:strCache>
            </c:strRef>
          </c:tx>
          <c:spPr>
            <a:solidFill>
              <a:schemeClr val="accent1"/>
            </a:solidFill>
            <a:ln>
              <a:noFill/>
            </a:ln>
            <a:effectLst/>
          </c:spPr>
          <c:invertIfNegative val="0"/>
          <c:cat>
            <c:strRef>
              <c:f>Sales_by_Region!$A$2:$A$6</c:f>
              <c:strCache>
                <c:ptCount val="4"/>
                <c:pt idx="0">
                  <c:v>Hyderabad</c:v>
                </c:pt>
                <c:pt idx="1">
                  <c:v>Karimnagar</c:v>
                </c:pt>
                <c:pt idx="2">
                  <c:v>Warangal</c:v>
                </c:pt>
                <c:pt idx="3">
                  <c:v>(blank)</c:v>
                </c:pt>
              </c:strCache>
            </c:strRef>
          </c:cat>
          <c:val>
            <c:numRef>
              <c:f>Sales_by_Region!$B$2:$B$6</c:f>
              <c:numCache>
                <c:formatCode>General</c:formatCode>
                <c:ptCount val="4"/>
                <c:pt idx="0">
                  <c:v>182000</c:v>
                </c:pt>
                <c:pt idx="1">
                  <c:v>112500</c:v>
                </c:pt>
                <c:pt idx="2">
                  <c:v>62500</c:v>
                </c:pt>
              </c:numCache>
            </c:numRef>
          </c:val>
          <c:extLst>
            <c:ext xmlns:c16="http://schemas.microsoft.com/office/drawing/2014/chart" uri="{C3380CC4-5D6E-409C-BE32-E72D297353CC}">
              <c16:uniqueId val="{00000000-9A4F-47B4-8E8F-CA5066EED207}"/>
            </c:ext>
          </c:extLst>
        </c:ser>
        <c:dLbls>
          <c:showLegendKey val="0"/>
          <c:showVal val="0"/>
          <c:showCatName val="0"/>
          <c:showSerName val="0"/>
          <c:showPercent val="0"/>
          <c:showBubbleSize val="0"/>
        </c:dLbls>
        <c:gapWidth val="219"/>
        <c:overlap val="-27"/>
        <c:axId val="1983636160"/>
        <c:axId val="1648916592"/>
      </c:barChart>
      <c:catAx>
        <c:axId val="198363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916592"/>
        <c:crosses val="autoZero"/>
        <c:auto val="1"/>
        <c:lblAlgn val="ctr"/>
        <c:lblOffset val="100"/>
        <c:noMultiLvlLbl val="0"/>
      </c:catAx>
      <c:valAx>
        <c:axId val="164891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63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[Retail_Sales_Analysis.xlsx]Profit_by_Product!PivotTable20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chart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Profit_by_Product!$B$3</c:f>
              <c:strCache>
                <c:ptCount val="1"/>
                <c:pt idx="0">
                  <c:v>Total</c:v>
                </c:pt>
              </c:strCache>
            </c:strRef>
          </c:tx>
          <c:spPr>
            <a:solidFill>
              <a:schemeClr val="accent1"/>
            </a:solidFill>
            <a:ln>
              <a:noFill/>
            </a:ln>
            <a:effectLst/>
          </c:spPr>
          <c:invertIfNegative val="0"/>
          <c:cat>
            <c:strRef>
              <c:f>Profit_by_Product!$A$4:$A$9</c:f>
              <c:strCache>
                <c:ptCount val="5"/>
                <c:pt idx="0">
                  <c:v>Keyboard</c:v>
                </c:pt>
                <c:pt idx="1">
                  <c:v>Laptop</c:v>
                </c:pt>
                <c:pt idx="2">
                  <c:v>Monitor</c:v>
                </c:pt>
                <c:pt idx="3">
                  <c:v>Mouse</c:v>
                </c:pt>
                <c:pt idx="4">
                  <c:v>(blank)</c:v>
                </c:pt>
              </c:strCache>
            </c:strRef>
          </c:cat>
          <c:val>
            <c:numRef>
              <c:f>Profit_by_Product!$B$4:$B$9</c:f>
              <c:numCache>
                <c:formatCode>General</c:formatCode>
                <c:ptCount val="5"/>
                <c:pt idx="0">
                  <c:v>19500</c:v>
                </c:pt>
                <c:pt idx="1">
                  <c:v>240000</c:v>
                </c:pt>
                <c:pt idx="2">
                  <c:v>84000</c:v>
                </c:pt>
                <c:pt idx="3">
                  <c:v>13500</c:v>
                </c:pt>
              </c:numCache>
            </c:numRef>
          </c:val>
          <c:extLst>
            <c:ext xmlns:c16="http://schemas.microsoft.com/office/drawing/2014/chart" uri="{C3380CC4-5D6E-409C-BE32-E72D297353CC}">
              <c16:uniqueId val="{00000000-33F6-4CEE-BBA3-BD29D510789D}"/>
            </c:ext>
          </c:extLst>
        </c:ser>
        <c:dLbls>
          <c:showLegendKey val="0"/>
          <c:showVal val="0"/>
          <c:showCatName val="0"/>
          <c:showSerName val="0"/>
          <c:showPercent val="0"/>
          <c:showBubbleSize val="0"/>
        </c:dLbls>
        <c:gapWidth val="219"/>
        <c:overlap val="-27"/>
        <c:axId val="1992779760"/>
        <c:axId val="1495074256"/>
      </c:barChart>
      <c:catAx>
        <c:axId val="199277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074256"/>
        <c:crosses val="autoZero"/>
        <c:auto val="1"/>
        <c:lblAlgn val="ctr"/>
        <c:lblOffset val="100"/>
        <c:noMultiLvlLbl val="0"/>
      </c:catAx>
      <c:valAx>
        <c:axId val="1495074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77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[Retail_Sales_Analysis.xlsx]Profit_by_Product!PivotTable20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00FFCC"/>
                </a:solidFill>
              </a:rPr>
              <a:t>Sales by Selected Product</a:t>
            </a:r>
            <a:endParaRPr lang="en-US">
              <a:solidFill>
                <a:srgbClr val="00FFCC"/>
              </a:solidFill>
            </a:endParaRPr>
          </a:p>
        </c:rich>
      </c:tx>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Profit_by_Product!$B$3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EB98-422F-9893-147B7E8AC8C1}"/>
              </c:ext>
            </c:extLst>
          </c:dPt>
          <c:dLbls>
            <c:dLbl>
              <c:idx val="0"/>
              <c:layout>
                <c:manualLayout>
                  <c:x val="0"/>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98-422F-9893-147B7E8AC8C1}"/>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Profit_by_Product!$A$4:$A$9</c:f>
              <c:strCache>
                <c:ptCount val="5"/>
                <c:pt idx="0">
                  <c:v>Keyboard</c:v>
                </c:pt>
                <c:pt idx="1">
                  <c:v>Laptop</c:v>
                </c:pt>
                <c:pt idx="2">
                  <c:v>Monitor</c:v>
                </c:pt>
                <c:pt idx="3">
                  <c:v>Mouse</c:v>
                </c:pt>
                <c:pt idx="4">
                  <c:v>(blank)</c:v>
                </c:pt>
              </c:strCache>
            </c:strRef>
          </c:cat>
          <c:val>
            <c:numRef>
              <c:f>Profit_by_Product!$B$4:$B$9</c:f>
              <c:numCache>
                <c:formatCode>General</c:formatCode>
                <c:ptCount val="5"/>
                <c:pt idx="0">
                  <c:v>19500</c:v>
                </c:pt>
                <c:pt idx="1">
                  <c:v>240000</c:v>
                </c:pt>
                <c:pt idx="2">
                  <c:v>84000</c:v>
                </c:pt>
                <c:pt idx="3">
                  <c:v>13500</c:v>
                </c:pt>
              </c:numCache>
            </c:numRef>
          </c:val>
          <c:extLst>
            <c:ext xmlns:c16="http://schemas.microsoft.com/office/drawing/2014/chart" uri="{C3380CC4-5D6E-409C-BE32-E72D297353CC}">
              <c16:uniqueId val="{00000000-665E-4CEF-8B77-8EBE98AD9517}"/>
            </c:ext>
          </c:extLst>
        </c:ser>
        <c:dLbls>
          <c:showLegendKey val="0"/>
          <c:showVal val="0"/>
          <c:showCatName val="0"/>
          <c:showSerName val="0"/>
          <c:showPercent val="0"/>
          <c:showBubbleSize val="0"/>
        </c:dLbls>
        <c:gapWidth val="219"/>
        <c:overlap val="-27"/>
        <c:axId val="1992779760"/>
        <c:axId val="1495074256"/>
      </c:barChart>
      <c:catAx>
        <c:axId val="199277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074256"/>
        <c:crosses val="autoZero"/>
        <c:auto val="1"/>
        <c:lblAlgn val="ctr"/>
        <c:lblOffset val="100"/>
        <c:noMultiLvlLbl val="0"/>
      </c:catAx>
      <c:valAx>
        <c:axId val="1495074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77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[Retail_Sales_Analysis.xlsx]Sales_by_Region!PivotTable17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00FFCC"/>
                </a:solidFill>
              </a:rPr>
              <a:t>Sales by Region</a:t>
            </a:r>
            <a:endParaRPr lang="en-IN">
              <a:solidFill>
                <a:srgbClr val="00FFCC"/>
              </a:solidFill>
            </a:endParaRPr>
          </a:p>
        </c:rich>
      </c:tx>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Sales_by_Region!$B$1</c:f>
              <c:strCache>
                <c:ptCount val="1"/>
                <c:pt idx="0">
                  <c:v>Total</c:v>
                </c:pt>
              </c:strCache>
            </c:strRef>
          </c:tx>
          <c:spPr>
            <a:solidFill>
              <a:schemeClr val="accent1"/>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Sales_by_Region!$A$2:$A$6</c:f>
              <c:strCache>
                <c:ptCount val="4"/>
                <c:pt idx="0">
                  <c:v>Hyderabad</c:v>
                </c:pt>
                <c:pt idx="1">
                  <c:v>Karimnagar</c:v>
                </c:pt>
                <c:pt idx="2">
                  <c:v>Warangal</c:v>
                </c:pt>
                <c:pt idx="3">
                  <c:v>(blank)</c:v>
                </c:pt>
              </c:strCache>
            </c:strRef>
          </c:cat>
          <c:val>
            <c:numRef>
              <c:f>Sales_by_Region!$B$2:$B$6</c:f>
              <c:numCache>
                <c:formatCode>General</c:formatCode>
                <c:ptCount val="4"/>
                <c:pt idx="0">
                  <c:v>182000</c:v>
                </c:pt>
                <c:pt idx="1">
                  <c:v>112500</c:v>
                </c:pt>
                <c:pt idx="2">
                  <c:v>62500</c:v>
                </c:pt>
              </c:numCache>
            </c:numRef>
          </c:val>
          <c:extLst>
            <c:ext xmlns:c16="http://schemas.microsoft.com/office/drawing/2014/chart" uri="{C3380CC4-5D6E-409C-BE32-E72D297353CC}">
              <c16:uniqueId val="{00000000-1B21-46CE-8E71-DED50EAA6E96}"/>
            </c:ext>
          </c:extLst>
        </c:ser>
        <c:dLbls>
          <c:showLegendKey val="0"/>
          <c:showVal val="0"/>
          <c:showCatName val="0"/>
          <c:showSerName val="0"/>
          <c:showPercent val="0"/>
          <c:showBubbleSize val="0"/>
        </c:dLbls>
        <c:gapWidth val="219"/>
        <c:overlap val="-27"/>
        <c:axId val="1983636160"/>
        <c:axId val="1648916592"/>
      </c:barChart>
      <c:catAx>
        <c:axId val="198363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916592"/>
        <c:crosses val="autoZero"/>
        <c:auto val="1"/>
        <c:lblAlgn val="ctr"/>
        <c:lblOffset val="100"/>
        <c:noMultiLvlLbl val="0"/>
      </c:catAx>
      <c:valAx>
        <c:axId val="164891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63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00FFCC"/>
                </a:solidFill>
              </a:rPr>
              <a:t>Monthly Sales Trend </a:t>
            </a:r>
            <a:endParaRPr lang="en-US">
              <a:solidFill>
                <a:srgbClr val="00FFCC"/>
              </a:solidFill>
            </a:endParaRPr>
          </a:p>
        </c:rich>
      </c:tx>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6A-4739-9040-55A3A250C7A6}"/>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6A-4739-9040-55A3A250C7A6}"/>
                </c:ext>
              </c:extLst>
            </c:dLbl>
            <c:dLbl>
              <c:idx val="3"/>
              <c:showLegendKey val="0"/>
              <c:showVal val="1"/>
              <c:showCatName val="0"/>
              <c:showSerName val="0"/>
              <c:showPercent val="0"/>
              <c:showBubbleSize val="0"/>
              <c:extLst>
                <c:ext xmlns:c15="http://schemas.microsoft.com/office/drawing/2012/chart" uri="{CE6537A1-D6FC-4f65-9D91-7224C49458BB}"/>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Sheet1!$A$4:$A$8</c:f>
              <c:strCache>
                <c:ptCount val="4"/>
                <c:pt idx="0">
                  <c:v>&lt;05-01-2026</c:v>
                </c:pt>
                <c:pt idx="1">
                  <c:v>Jan</c:v>
                </c:pt>
                <c:pt idx="2">
                  <c:v>Feb</c:v>
                </c:pt>
                <c:pt idx="3">
                  <c:v>Mar</c:v>
                </c:pt>
              </c:strCache>
            </c:strRef>
          </c:cat>
          <c:val>
            <c:numRef>
              <c:f>Sheet1!$B$4:$B$8</c:f>
              <c:numCache>
                <c:formatCode>General</c:formatCode>
                <c:ptCount val="4"/>
                <c:pt idx="1">
                  <c:v>139000</c:v>
                </c:pt>
                <c:pt idx="2">
                  <c:v>75000</c:v>
                </c:pt>
                <c:pt idx="3">
                  <c:v>143000</c:v>
                </c:pt>
              </c:numCache>
            </c:numRef>
          </c:val>
          <c:smooth val="0"/>
          <c:extLst>
            <c:ext xmlns:c16="http://schemas.microsoft.com/office/drawing/2014/chart" uri="{C3380CC4-5D6E-409C-BE32-E72D297353CC}">
              <c16:uniqueId val="{00000007-496A-4739-9040-55A3A250C7A6}"/>
            </c:ext>
          </c:extLst>
        </c:ser>
        <c:dLbls>
          <c:showLegendKey val="0"/>
          <c:showVal val="0"/>
          <c:showCatName val="0"/>
          <c:showSerName val="0"/>
          <c:showPercent val="0"/>
          <c:showBubbleSize val="0"/>
        </c:dLbls>
        <c:marker val="1"/>
        <c:smooth val="0"/>
        <c:axId val="1357633504"/>
        <c:axId val="1355929488"/>
      </c:lineChart>
      <c:catAx>
        <c:axId val="135763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929488"/>
        <c:crosses val="autoZero"/>
        <c:auto val="1"/>
        <c:lblAlgn val="ctr"/>
        <c:lblOffset val="100"/>
        <c:noMultiLvlLbl val="0"/>
      </c:catAx>
      <c:valAx>
        <c:axId val="135592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63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[Retail_Sales_Analysis.xlsx]Sheet7!PivotTable2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00FFCC"/>
                </a:solidFill>
              </a:rPr>
              <a:t>Sales Distribution by Category</a:t>
            </a:r>
            <a:endParaRPr lang="en-US">
              <a:solidFill>
                <a:srgbClr val="00FFCC"/>
              </a:solidFill>
            </a:endParaRPr>
          </a:p>
        </c:rich>
      </c:tx>
      <c:layout>
        <c:manualLayout>
          <c:xMode val="edge"/>
          <c:yMode val="edge"/>
          <c:x val="0.35778874701188534"/>
          <c:y val="0.12219687424366132"/>
        </c:manualLayout>
      </c:layout>
      <c:overlay val="0"/>
      <c:spPr>
        <a:solidFill>
          <a:srgbClr val="002060"/>
        </a:solidFill>
        <a:ln>
          <a:solidFill>
            <a:schemeClr val="bg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B8-4797-9808-7FAFD4B8F0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B8-4797-9808-7FAFD4B8F006}"/>
              </c:ext>
            </c:extLst>
          </c:dPt>
          <c:dPt>
            <c:idx val="2"/>
            <c:bubble3D val="0"/>
            <c:spPr>
              <a:solidFill>
                <a:schemeClr val="accent3"/>
              </a:solidFill>
              <a:ln w="19050">
                <a:solidFill>
                  <a:schemeClr val="lt1"/>
                </a:solidFill>
              </a:ln>
              <a:effectLst/>
            </c:spPr>
          </c:dPt>
          <c:cat>
            <c:strRef>
              <c:f>Sheet7!$A$4:$A$7</c:f>
              <c:strCache>
                <c:ptCount val="3"/>
                <c:pt idx="0">
                  <c:v>Accessories</c:v>
                </c:pt>
                <c:pt idx="1">
                  <c:v>Electronics</c:v>
                </c:pt>
                <c:pt idx="2">
                  <c:v>(blank)</c:v>
                </c:pt>
              </c:strCache>
            </c:strRef>
          </c:cat>
          <c:val>
            <c:numRef>
              <c:f>Sheet7!$B$4:$B$7</c:f>
              <c:numCache>
                <c:formatCode>General</c:formatCode>
                <c:ptCount val="3"/>
                <c:pt idx="0">
                  <c:v>33000</c:v>
                </c:pt>
                <c:pt idx="1">
                  <c:v>324000</c:v>
                </c:pt>
              </c:numCache>
            </c:numRef>
          </c:val>
          <c:extLst>
            <c:ext xmlns:c16="http://schemas.microsoft.com/office/drawing/2014/chart" uri="{C3380CC4-5D6E-409C-BE32-E72D297353CC}">
              <c16:uniqueId val="{00000004-07B8-4797-9808-7FAFD4B8F00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[Retail_Sales_Analysis.xlsx]Sheet7!PivotTable2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92-40D9-A3CB-64B61E8558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92-40D9-A3CB-64B61E855849}"/>
              </c:ext>
            </c:extLst>
          </c:dPt>
          <c:dPt>
            <c:idx val="2"/>
            <c:bubble3D val="0"/>
            <c:spPr>
              <a:solidFill>
                <a:schemeClr val="accent3"/>
              </a:solidFill>
              <a:ln w="19050">
                <a:solidFill>
                  <a:schemeClr val="lt1"/>
                </a:solidFill>
              </a:ln>
              <a:effectLst/>
            </c:spPr>
          </c:dPt>
          <c:cat>
            <c:strRef>
              <c:f>Sheet7!$A$4:$A$7</c:f>
              <c:strCache>
                <c:ptCount val="3"/>
                <c:pt idx="0">
                  <c:v>Accessories</c:v>
                </c:pt>
                <c:pt idx="1">
                  <c:v>Electronics</c:v>
                </c:pt>
                <c:pt idx="2">
                  <c:v>(blank)</c:v>
                </c:pt>
              </c:strCache>
            </c:strRef>
          </c:cat>
          <c:val>
            <c:numRef>
              <c:f>Sheet7!$B$4:$B$7</c:f>
              <c:numCache>
                <c:formatCode>General</c:formatCode>
                <c:ptCount val="3"/>
                <c:pt idx="0">
                  <c:v>33000</c:v>
                </c:pt>
                <c:pt idx="1">
                  <c:v>324000</c:v>
                </c:pt>
              </c:numCache>
            </c:numRef>
          </c:val>
          <c:extLst>
            <c:ext xmlns:c16="http://schemas.microsoft.com/office/drawing/2014/chart" uri="{C3380CC4-5D6E-409C-BE32-E72D297353CC}">
              <c16:uniqueId val="{00000000-2383-4773-BB3C-DBE97A450E4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60960</xdr:colOff>
      <xdr:row>10</xdr:row>
      <xdr:rowOff>30480</xdr:rowOff>
    </xdr:from>
    <xdr:to>
      <xdr:col>4</xdr:col>
      <xdr:colOff>350520</xdr:colOff>
      <xdr:row>23</xdr:row>
      <xdr:rowOff>34290</xdr:rowOff>
    </xdr:to>
    <xdr:graphicFrame macro="">
      <xdr:nvGraphicFramePr>
        <xdr:cNvPr id="2" name="Chart 1">
          <a:extLst>
            <a:ext uri="{FF2B5EF4-FFF2-40B4-BE49-F238E27FC236}">
              <a16:creationId xmlns:a16="http://schemas.microsoft.com/office/drawing/2014/main" id="{5143CEEA-0151-920C-BF00-4A015326C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8</xdr:col>
      <xdr:colOff>411480</xdr:colOff>
      <xdr:row>16</xdr:row>
      <xdr:rowOff>0</xdr:rowOff>
    </xdr:to>
    <xdr:graphicFrame macro="">
      <xdr:nvGraphicFramePr>
        <xdr:cNvPr id="2" name="Chart 1">
          <a:extLst>
            <a:ext uri="{FF2B5EF4-FFF2-40B4-BE49-F238E27FC236}">
              <a16:creationId xmlns:a16="http://schemas.microsoft.com/office/drawing/2014/main" id="{19339A16-20A0-90DC-BDDC-998306570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731920</xdr:colOff>
      <xdr:row>9</xdr:row>
      <xdr:rowOff>80211</xdr:rowOff>
    </xdr:from>
    <xdr:to>
      <xdr:col>6</xdr:col>
      <xdr:colOff>391027</xdr:colOff>
      <xdr:row>21</xdr:row>
      <xdr:rowOff>34290</xdr:rowOff>
    </xdr:to>
    <xdr:graphicFrame macro="">
      <xdr:nvGraphicFramePr>
        <xdr:cNvPr id="2" name="Chart 1">
          <a:extLst>
            <a:ext uri="{FF2B5EF4-FFF2-40B4-BE49-F238E27FC236}">
              <a16:creationId xmlns:a16="http://schemas.microsoft.com/office/drawing/2014/main" id="{48FBC991-D5EF-D4EE-4E60-D6E8848A1E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44823</xdr:colOff>
      <xdr:row>5</xdr:row>
      <xdr:rowOff>10971</xdr:rowOff>
    </xdr:from>
    <xdr:to>
      <xdr:col>3</xdr:col>
      <xdr:colOff>1195294</xdr:colOff>
      <xdr:row>17</xdr:row>
      <xdr:rowOff>69385</xdr:rowOff>
    </xdr:to>
    <xdr:graphicFrame macro="">
      <xdr:nvGraphicFramePr>
        <xdr:cNvPr id="4" name="Chart 3">
          <a:extLst>
            <a:ext uri="{FF2B5EF4-FFF2-40B4-BE49-F238E27FC236}">
              <a16:creationId xmlns:a16="http://schemas.microsoft.com/office/drawing/2014/main" id="{15E34A31-A0A4-4955-B6B0-18A8163D3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1409700</xdr:colOff>
      <xdr:row>18</xdr:row>
      <xdr:rowOff>152400</xdr:rowOff>
    </xdr:from>
    <xdr:to>
      <xdr:col>9</xdr:col>
      <xdr:colOff>302380</xdr:colOff>
      <xdr:row>32</xdr:row>
      <xdr:rowOff>29881</xdr:rowOff>
    </xdr:to>
    <xdr:graphicFrame macro="">
      <xdr:nvGraphicFramePr>
        <xdr:cNvPr id="5" name="Chart 4">
          <a:extLst>
            <a:ext uri="{FF2B5EF4-FFF2-40B4-BE49-F238E27FC236}">
              <a16:creationId xmlns:a16="http://schemas.microsoft.com/office/drawing/2014/main" id="{336DB796-41CA-4F3F-92D4-DD047DBCB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152400</xdr:rowOff>
    </xdr:from>
    <xdr:to>
      <xdr:col>3</xdr:col>
      <xdr:colOff>1200149</xdr:colOff>
      <xdr:row>31</xdr:row>
      <xdr:rowOff>73116</xdr:rowOff>
    </xdr:to>
    <xdr:graphicFrame macro="">
      <xdr:nvGraphicFramePr>
        <xdr:cNvPr id="6" name="Chart 5">
          <a:extLst>
            <a:ext uri="{FF2B5EF4-FFF2-40B4-BE49-F238E27FC236}">
              <a16:creationId xmlns:a16="http://schemas.microsoft.com/office/drawing/2014/main" id="{10351901-DCB1-41E2-858C-9FFEF5B27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503923</xdr:colOff>
      <xdr:row>5</xdr:row>
      <xdr:rowOff>139658</xdr:rowOff>
    </xdr:from>
    <xdr:to>
      <xdr:col>13</xdr:col>
      <xdr:colOff>42796</xdr:colOff>
      <xdr:row>17</xdr:row>
      <xdr:rowOff>160253</xdr:rowOff>
    </xdr:to>
    <mc:AlternateContent xmlns:mc="http://schemas.openxmlformats.org/markup-compatibility/2006" xmlns:a14="http://schemas.microsoft.com/office/drawing/2010/main">
      <mc:Choice Requires="a14">
        <xdr:graphicFrame macro="">
          <xdr:nvGraphicFramePr>
            <xdr:cNvPr id="2" name="Product 1">
              <a:extLst>
                <a:ext uri="{FF2B5EF4-FFF2-40B4-BE49-F238E27FC236}">
                  <a16:creationId xmlns:a16="http://schemas.microsoft.com/office/drawing/2014/main" id="{D2C33FB8-A6D6-484D-BC11-572C190B67B4}"/>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828050" y="1248899"/>
              <a:ext cx="2789430" cy="22197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1571624</xdr:colOff>
      <xdr:row>5</xdr:row>
      <xdr:rowOff>9525</xdr:rowOff>
    </xdr:from>
    <xdr:to>
      <xdr:col>8</xdr:col>
      <xdr:colOff>0</xdr:colOff>
      <xdr:row>18</xdr:row>
      <xdr:rowOff>38100</xdr:rowOff>
    </xdr:to>
    <xdr:graphicFrame macro="">
      <xdr:nvGraphicFramePr>
        <xdr:cNvPr id="9" name="Chart 8">
          <a:extLst>
            <a:ext uri="{FF2B5EF4-FFF2-40B4-BE49-F238E27FC236}">
              <a16:creationId xmlns:a16="http://schemas.microsoft.com/office/drawing/2014/main" id="{46798038-2D42-459A-9E9E-EAD57D97F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262328</xdr:colOff>
      <xdr:row>7</xdr:row>
      <xdr:rowOff>37476</xdr:rowOff>
    </xdr:from>
    <xdr:to>
      <xdr:col>16</xdr:col>
      <xdr:colOff>587115</xdr:colOff>
      <xdr:row>19</xdr:row>
      <xdr:rowOff>12493</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1F8D3EAA-3D7B-1318-7BB2-F534EA58046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837012" y="1513248"/>
              <a:ext cx="2147799" cy="2174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411480</xdr:colOff>
      <xdr:row>3</xdr:row>
      <xdr:rowOff>152400</xdr:rowOff>
    </xdr:from>
    <xdr:to>
      <xdr:col>8</xdr:col>
      <xdr:colOff>563880</xdr:colOff>
      <xdr:row>15</xdr:row>
      <xdr:rowOff>133350</xdr:rowOff>
    </xdr:to>
    <xdr:graphicFrame macro="">
      <xdr:nvGraphicFramePr>
        <xdr:cNvPr id="2" name="Chart 1">
          <a:extLst>
            <a:ext uri="{FF2B5EF4-FFF2-40B4-BE49-F238E27FC236}">
              <a16:creationId xmlns:a16="http://schemas.microsoft.com/office/drawing/2014/main" id="{A8A94371-D663-BC6F-ED69-84214F68E0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ddi" refreshedDate="46321.793910300927" createdVersion="8" refreshedVersion="8" minRefreshableVersion="3" recordCount="16" xr:uid="{554D59C8-D29B-42C3-AEA7-7D15D4FB04B1}">
  <cacheSource type="worksheet">
    <worksheetSource name="retail_sales_data"/>
  </cacheSource>
  <cacheFields count="11">
    <cacheField name="Order_ID" numFmtId="0">
      <sharedItems containsMixedTypes="1" containsNumber="1" containsInteger="1" minValue="1001" maxValue="1015"/>
    </cacheField>
    <cacheField name="Order_Date" numFmtId="14">
      <sharedItems containsNonDate="0" containsDate="1" containsString="0" containsBlank="1" minDate="2026-01-05T00:00:00" maxDate="2026-03-21T00:00:00" count="16">
        <d v="2026-01-05T00:00:00"/>
        <d v="2026-01-06T00:00:00"/>
        <d v="2026-01-07T00:00:00"/>
        <d v="2026-01-08T00:00:00"/>
        <d v="2026-01-10T00:00:00"/>
        <d v="2026-02-02T00:00:00"/>
        <d v="2026-02-05T00:00:00"/>
        <d v="2026-02-11T00:00:00"/>
        <d v="2026-02-15T00:00:00"/>
        <d v="2026-03-01T00:00:00"/>
        <d v="2026-03-04T00:00:00"/>
        <d v="2026-03-08T00:00:00"/>
        <d v="2026-03-12T00:00:00"/>
        <d v="2026-03-18T00:00:00"/>
        <d v="2026-03-20T00:00:00"/>
        <m/>
      </sharedItems>
      <fieldGroup par="10"/>
    </cacheField>
    <cacheField name="Product" numFmtId="0">
      <sharedItems containsBlank="1" count="5">
        <s v="Laptop"/>
        <s v="Mouse"/>
        <s v="Monitor"/>
        <s v="Keyboard"/>
        <m/>
      </sharedItems>
    </cacheField>
    <cacheField name="Category" numFmtId="0">
      <sharedItems containsBlank="1" count="3">
        <s v="Electronics"/>
        <s v="Accessories"/>
        <m/>
      </sharedItems>
    </cacheField>
    <cacheField name="Region" numFmtId="0">
      <sharedItems containsBlank="1" count="4">
        <s v="Hyderabad"/>
        <s v="Warangal"/>
        <s v="Karimnagar"/>
        <m/>
      </sharedItems>
    </cacheField>
    <cacheField name="Quantity" numFmtId="0">
      <sharedItems containsString="0" containsBlank="1" containsNumber="1" containsInteger="1" minValue="1" maxValue="10"/>
    </cacheField>
    <cacheField name="Sales_Amount" numFmtId="0">
      <sharedItems containsString="0" containsBlank="1" containsNumber="1" containsInteger="1" minValue="2000" maxValue="80000"/>
    </cacheField>
    <cacheField name="Profit" numFmtId="0">
      <sharedItems containsString="0" containsBlank="1" containsNumber="1" containsInteger="1" minValue="400" maxValue="8000"/>
    </cacheField>
    <cacheField name="Profit_Margin" numFmtId="0">
      <sharedItems containsString="0" containsBlank="1" containsNumber="1" minValue="0.1" maxValue="0.2"/>
    </cacheField>
    <cacheField name="Days (Order_Date)" numFmtId="0" databaseField="0">
      <fieldGroup base="1">
        <rangePr groupBy="days" startDate="2026-01-05T00:00:00" endDate="2026-03-21T00:00:00"/>
        <groupItems count="368">
          <s v="&lt;0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03-2026"/>
        </groupItems>
      </fieldGroup>
    </cacheField>
    <cacheField name="Months (Order_Date)" numFmtId="0" databaseField="0">
      <fieldGroup base="1">
        <rangePr groupBy="months" startDate="2026-01-05T00:00:00" endDate="2026-03-21T00:00:00"/>
        <groupItems count="14">
          <s v="&lt;05-01-2026"/>
          <s v="Jan"/>
          <s v="Feb"/>
          <s v="Mar"/>
          <s v="Apr"/>
          <s v="May"/>
          <s v="Jun"/>
          <s v="Jul"/>
          <s v="Aug"/>
          <s v="Sep"/>
          <s v="Oct"/>
          <s v="Nov"/>
          <s v="Dec"/>
          <s v="&gt;21-03-2026"/>
        </groupItems>
      </fieldGroup>
    </cacheField>
  </cacheFields>
  <extLst>
    <ext xmlns:x14="http://schemas.microsoft.com/office/spreadsheetml/2009/9/main" uri="{725AE2AE-9491-48be-B2B4-4EB974FC3084}">
      <x14:pivotCacheDefinition pivotCacheId="1855931117"/>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n v="1001"/>
    <x v="0"/>
    <x v="0"/>
    <x v="0"/>
    <x v="0"/>
    <n v="2"/>
    <n v="80000"/>
    <n v="8000"/>
    <n v="0.1"/>
  </r>
  <r>
    <n v="1002"/>
    <x v="1"/>
    <x v="1"/>
    <x v="1"/>
    <x v="1"/>
    <n v="5"/>
    <n v="2500"/>
    <n v="500"/>
    <n v="0.2"/>
  </r>
  <r>
    <n v="1003"/>
    <x v="2"/>
    <x v="2"/>
    <x v="0"/>
    <x v="0"/>
    <n v="1"/>
    <n v="12000"/>
    <n v="1500"/>
    <n v="0.125"/>
  </r>
  <r>
    <n v="1004"/>
    <x v="3"/>
    <x v="3"/>
    <x v="1"/>
    <x v="2"/>
    <n v="3"/>
    <n v="4500"/>
    <n v="900"/>
    <n v="0.2"/>
  </r>
  <r>
    <n v="1005"/>
    <x v="4"/>
    <x v="0"/>
    <x v="0"/>
    <x v="1"/>
    <n v="1"/>
    <n v="40000"/>
    <n v="4000"/>
    <n v="0.1"/>
  </r>
  <r>
    <n v="1006"/>
    <x v="5"/>
    <x v="1"/>
    <x v="1"/>
    <x v="0"/>
    <n v="10"/>
    <n v="5000"/>
    <n v="1000"/>
    <n v="0.2"/>
  </r>
  <r>
    <n v="1007"/>
    <x v="6"/>
    <x v="2"/>
    <x v="0"/>
    <x v="2"/>
    <n v="2"/>
    <n v="24000"/>
    <n v="3000"/>
    <n v="0.125"/>
  </r>
  <r>
    <n v="1008"/>
    <x v="7"/>
    <x v="3"/>
    <x v="1"/>
    <x v="1"/>
    <n v="4"/>
    <n v="6000"/>
    <n v="1200"/>
    <n v="0.2"/>
  </r>
  <r>
    <n v="1009"/>
    <x v="8"/>
    <x v="0"/>
    <x v="0"/>
    <x v="0"/>
    <n v="1"/>
    <n v="40000"/>
    <n v="4000"/>
    <n v="0.1"/>
  </r>
  <r>
    <n v="1010"/>
    <x v="9"/>
    <x v="1"/>
    <x v="1"/>
    <x v="2"/>
    <n v="8"/>
    <n v="4000"/>
    <n v="800"/>
    <n v="0.2"/>
  </r>
  <r>
    <n v="1011"/>
    <x v="10"/>
    <x v="2"/>
    <x v="0"/>
    <x v="1"/>
    <n v="1"/>
    <n v="12000"/>
    <n v="1500"/>
    <n v="0.125"/>
  </r>
  <r>
    <n v="1012"/>
    <x v="11"/>
    <x v="3"/>
    <x v="1"/>
    <x v="0"/>
    <n v="6"/>
    <n v="9000"/>
    <n v="1800"/>
    <n v="0.2"/>
  </r>
  <r>
    <n v="1013"/>
    <x v="12"/>
    <x v="0"/>
    <x v="0"/>
    <x v="2"/>
    <n v="2"/>
    <n v="80000"/>
    <n v="8000"/>
    <n v="0.1"/>
  </r>
  <r>
    <n v="1014"/>
    <x v="13"/>
    <x v="1"/>
    <x v="1"/>
    <x v="1"/>
    <n v="4"/>
    <n v="2000"/>
    <n v="400"/>
    <n v="0.2"/>
  </r>
  <r>
    <n v="1015"/>
    <x v="14"/>
    <x v="2"/>
    <x v="0"/>
    <x v="0"/>
    <n v="3"/>
    <n v="36000"/>
    <n v="4500"/>
    <n v="0.125"/>
  </r>
  <r>
    <s v="Profit_Margin"/>
    <x v="15"/>
    <x v="4"/>
    <x v="2"/>
    <x v="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6CAC94-E98B-4315-AD1F-5E2A06B3167F}"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1">
    <pivotField showAll="0"/>
    <pivotField numFmtId="14" showAll="0">
      <items count="17">
        <item x="0"/>
        <item x="1"/>
        <item x="2"/>
        <item x="3"/>
        <item x="4"/>
        <item x="5"/>
        <item x="6"/>
        <item x="7"/>
        <item x="8"/>
        <item x="9"/>
        <item x="10"/>
        <item x="11"/>
        <item x="12"/>
        <item x="13"/>
        <item x="14"/>
        <item x="15"/>
        <item t="default"/>
      </items>
    </pivotField>
    <pivotField showAll="0">
      <items count="6">
        <item x="3"/>
        <item x="0"/>
        <item x="2"/>
        <item x="1"/>
        <item x="4"/>
        <item t="default"/>
      </items>
    </pivotField>
    <pivotField showAll="0">
      <items count="4">
        <item x="1"/>
        <item x="0"/>
        <item x="2"/>
        <item t="default"/>
      </items>
    </pivotField>
    <pivotField axis="axisRow" showAll="0">
      <items count="5">
        <item x="0"/>
        <item x="2"/>
        <item x="1"/>
        <item x="3"/>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_Amount"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BFCDE3-B80E-4564-9B88-60FB912157DA}" name="PivotTable1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11">
    <pivotField showAll="0"/>
    <pivotField numFmtId="14" showAll="0">
      <items count="17">
        <item x="0"/>
        <item x="1"/>
        <item x="2"/>
        <item x="3"/>
        <item x="4"/>
        <item x="5"/>
        <item x="6"/>
        <item x="7"/>
        <item x="8"/>
        <item x="9"/>
        <item x="10"/>
        <item x="11"/>
        <item x="12"/>
        <item x="13"/>
        <item x="14"/>
        <item x="15"/>
        <item t="default"/>
      </items>
    </pivotField>
    <pivotField showAll="0">
      <items count="6">
        <item x="3"/>
        <item x="0"/>
        <item x="2"/>
        <item x="1"/>
        <item x="4"/>
        <item t="default"/>
      </items>
    </pivotField>
    <pivotField showAll="0">
      <items count="4">
        <item x="1"/>
        <item x="0"/>
        <item x="2"/>
        <item t="default"/>
      </items>
    </pivotField>
    <pivotField axis="axisRow" showAll="0">
      <items count="5">
        <item x="0"/>
        <item x="2"/>
        <item x="1"/>
        <item x="3"/>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_Amount"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09A4FD-11BD-4B8B-966A-69482CDAC2B6}" name="PivotTable2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1">
    <pivotField showAll="0"/>
    <pivotField numFmtId="14" showAll="0">
      <items count="17">
        <item x="0"/>
        <item x="1"/>
        <item x="2"/>
        <item x="3"/>
        <item x="4"/>
        <item x="5"/>
        <item x="6"/>
        <item x="7"/>
        <item x="8"/>
        <item x="9"/>
        <item x="10"/>
        <item x="11"/>
        <item x="12"/>
        <item x="13"/>
        <item x="14"/>
        <item x="15"/>
        <item t="default"/>
      </items>
    </pivotField>
    <pivotField axis="axisRow" showAll="0">
      <items count="6">
        <item x="3"/>
        <item x="0"/>
        <item x="2"/>
        <item x="1"/>
        <item x="4"/>
        <item t="default"/>
      </items>
    </pivotField>
    <pivotField showAll="0">
      <items count="4">
        <item x="1"/>
        <item x="0"/>
        <item x="2"/>
        <item t="default"/>
      </items>
    </pivotField>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Sales_Amount" fld="6" baseField="0" baseItem="0"/>
  </dataFields>
  <chartFormats count="3">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F496CC-3972-4D1B-B602-15174C01AC3F}"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fieldListSortAscending="1">
  <location ref="A3:B8" firstHeaderRow="1" firstDataRow="1" firstDataCol="1"/>
  <pivotFields count="11">
    <pivotField showAll="0"/>
    <pivotField numFmtId="14" showAll="0">
      <items count="17">
        <item x="0"/>
        <item x="1"/>
        <item x="2"/>
        <item x="3"/>
        <item x="4"/>
        <item x="5"/>
        <item x="6"/>
        <item x="7"/>
        <item x="8"/>
        <item x="9"/>
        <item x="10"/>
        <item x="11"/>
        <item x="12"/>
        <item x="13"/>
        <item x="14"/>
        <item x="15"/>
        <item t="default"/>
      </items>
    </pivotField>
    <pivotField showAll="0">
      <items count="6">
        <item x="3"/>
        <item x="0"/>
        <item x="2"/>
        <item x="1"/>
        <item x="4"/>
        <item t="default"/>
      </items>
    </pivotField>
    <pivotField showAll="0">
      <items count="4">
        <item x="1"/>
        <item x="0"/>
        <item x="2"/>
        <item t="default"/>
      </items>
    </pivotField>
    <pivotField showAll="0"/>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5">
    <i>
      <x/>
    </i>
    <i>
      <x v="1"/>
    </i>
    <i>
      <x v="2"/>
    </i>
    <i>
      <x v="3"/>
    </i>
    <i t="grand">
      <x/>
    </i>
  </rowItems>
  <colItems count="1">
    <i/>
  </colItems>
  <dataFields count="1">
    <dataField name="Sum of Sales_Amount" fld="6" baseField="0" baseItem="0"/>
  </dataFields>
  <chartFormats count="5">
    <chartFormat chart="0" format="13" series="1">
      <pivotArea type="data" outline="0" fieldPosition="0">
        <references count="1">
          <reference field="4294967294" count="1" selected="0">
            <x v="0"/>
          </reference>
        </references>
      </pivotArea>
    </chartFormat>
    <chartFormat chart="4" format="17"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10" count="1" selected="0">
            <x v="1"/>
          </reference>
        </references>
      </pivotArea>
    </chartFormat>
    <chartFormat chart="4" format="22">
      <pivotArea type="data" outline="0" fieldPosition="0">
        <references count="2">
          <reference field="4294967294" count="1" selected="0">
            <x v="0"/>
          </reference>
          <reference field="10" count="1" selected="0">
            <x v="2"/>
          </reference>
        </references>
      </pivotArea>
    </chartFormat>
    <chartFormat chart="4" format="23">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5A25EA-2D60-4C27-BE0E-43C4B4328DEE}"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1">
    <pivotField showAll="0"/>
    <pivotField numFmtId="14" showAll="0">
      <items count="17">
        <item x="0"/>
        <item x="1"/>
        <item x="2"/>
        <item x="3"/>
        <item x="4"/>
        <item x="5"/>
        <item x="6"/>
        <item x="7"/>
        <item x="8"/>
        <item x="9"/>
        <item x="10"/>
        <item x="11"/>
        <item x="12"/>
        <item x="13"/>
        <item x="14"/>
        <item x="15"/>
        <item t="default"/>
      </items>
    </pivotField>
    <pivotField showAll="0">
      <items count="6">
        <item x="3"/>
        <item x="0"/>
        <item x="2"/>
        <item x="1"/>
        <item x="4"/>
        <item t="default"/>
      </items>
    </pivotField>
    <pivotField axis="axisRow" showAll="0">
      <items count="4">
        <item x="1"/>
        <item x="0"/>
        <item x="2"/>
        <item t="default"/>
      </items>
    </pivotField>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Sales_Amount" fld="6" baseField="0" baseItem="0"/>
  </dataFields>
  <chartFormats count="5">
    <chartFormat chart="4"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3" count="1" selected="0">
            <x v="0"/>
          </reference>
        </references>
      </pivotArea>
    </chartFormat>
    <chartFormat chart="6" format="6">
      <pivotArea type="data" outline="0" fieldPosition="0">
        <references count="2">
          <reference field="4294967294" count="1" selected="0">
            <x v="0"/>
          </reference>
          <reference field="3" count="1" selected="0">
            <x v="1"/>
          </reference>
        </references>
      </pivotArea>
    </chartFormat>
    <chartFormat chart="4" format="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DB08F5B-68C8-4D89-990C-F49C254236EF}" autoFormatId="16" applyNumberFormats="0" applyBorderFormats="0" applyFontFormats="0" applyPatternFormats="0" applyAlignmentFormats="0" applyWidthHeightFormats="0">
  <queryTableRefresh nextId="10" unboundColumnsRight="1">
    <queryTableFields count="9">
      <queryTableField id="1" name="Order_ID" tableColumnId="1"/>
      <queryTableField id="2" name="Order_Date" tableColumnId="2"/>
      <queryTableField id="3" name="Product" tableColumnId="3"/>
      <queryTableField id="4" name="Category" tableColumnId="4"/>
      <queryTableField id="5" name="Region" tableColumnId="5"/>
      <queryTableField id="6" name="Quantity" tableColumnId="6"/>
      <queryTableField id="7" name="Sales_Amount" tableColumnId="7"/>
      <queryTableField id="8" name="Profit" tableColumnId="8"/>
      <queryTableField id="9"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4316F5A-5D81-4BD4-89F2-E2E6B6B3FFD8}" sourceName="Product">
  <pivotTables>
    <pivotTable tabId="4" name="PivotTable2"/>
    <pivotTable tabId="5" name="PivotTable17"/>
    <pivotTable tabId="10" name="PivotTable1"/>
    <pivotTable tabId="8" name="PivotTable20"/>
    <pivotTable tabId="16" name="PivotTable2"/>
  </pivotTables>
  <data>
    <tabular pivotCacheId="1855931117">
      <items count="5">
        <i x="3" s="1"/>
        <i x="0" s="1"/>
        <i x="2" s="1"/>
        <i x="1"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C38485C-8541-4CC3-B2A9-97A008325C17}" sourceName="Category">
  <pivotTables>
    <pivotTable tabId="16" name="PivotTable2"/>
    <pivotTable tabId="8" name="PivotTable20"/>
    <pivotTable tabId="4" name="PivotTable2"/>
    <pivotTable tabId="5" name="PivotTable17"/>
    <pivotTable tabId="10" name="PivotTable1"/>
  </pivotTables>
  <data>
    <tabular pivotCacheId="1855931117">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AFE246AF-BFA7-4824-932C-016C05E18340}" cache="Slicer_Product" caption="Product" rowHeight="234950"/>
  <slicer name="Category" xr10:uid="{EAD1959F-4F0B-48A5-9D0E-806A77582655}"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498F17-DF1B-4CCB-8EAE-DB4E44F7E4C6}" name="retail_sales_data" displayName="retail_sales_data" ref="A1:I18" tableType="queryTable" totalsRowCount="1">
  <autoFilter ref="A1:I17" xr:uid="{BD498F17-DF1B-4CCB-8EAE-DB4E44F7E4C6}"/>
  <tableColumns count="9">
    <tableColumn id="1" xr3:uid="{0B7C6BED-1D80-486F-9516-311B3489BCAD}" uniqueName="1" name="Order_ID" totalsRowFunction="custom" queryTableFieldId="1" totalsRowDxfId="10">
      <totalsRowFormula>H2/G2</totalsRowFormula>
    </tableColumn>
    <tableColumn id="2" xr3:uid="{9D25792E-0CD5-43EE-9B3F-217005AB54E0}" uniqueName="2" name="Order_Date" queryTableFieldId="2" dataDxfId="8" totalsRowDxfId="9"/>
    <tableColumn id="3" xr3:uid="{F07D459E-CB29-4A5A-BB56-EAECA63BB423}" uniqueName="3" name="Product" queryTableFieldId="3" dataDxfId="7"/>
    <tableColumn id="4" xr3:uid="{A1992CDD-BB0A-4519-B99E-FDE0E1F40AD8}" uniqueName="4" name="Category" queryTableFieldId="4" dataDxfId="6"/>
    <tableColumn id="5" xr3:uid="{61268B6E-C443-427F-AAFA-C6234F5F7419}" uniqueName="5" name="Region" queryTableFieldId="5" dataDxfId="5"/>
    <tableColumn id="6" xr3:uid="{7F3D8C7F-610C-4C0E-B4E8-DB4B104881C8}" uniqueName="6" name="Quantity" queryTableFieldId="6"/>
    <tableColumn id="7" xr3:uid="{893C8A59-AE04-4B6B-8A03-A2DD87E0A10B}" uniqueName="7" name="Sales_Amount" queryTableFieldId="7"/>
    <tableColumn id="8" xr3:uid="{00C7D7F9-F206-4671-BB4D-0E95A16E8732}" uniqueName="8" name="Profit" queryTableFieldId="8"/>
    <tableColumn id="9" xr3:uid="{76E729EA-0BCC-4B4A-8E60-738C4C8004A7}" uniqueName="9" name="Profit_Margin" queryTableFieldId="9" dataDxfId="4">
      <calculatedColumnFormula>IFERROR(H2/G2,0)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489AA-0F6D-4200-85AB-53E292271F32}">
  <dimension ref="A3:B8"/>
  <sheetViews>
    <sheetView workbookViewId="0">
      <selection activeCell="C48" sqref="C48"/>
    </sheetView>
  </sheetViews>
  <sheetFormatPr defaultRowHeight="14.4" x14ac:dyDescent="0.3"/>
  <cols>
    <col min="1" max="1" width="12.5546875" bestFit="1" customWidth="1"/>
    <col min="2" max="2" width="19.77734375" bestFit="1" customWidth="1"/>
  </cols>
  <sheetData>
    <row r="3" spans="1:2" x14ac:dyDescent="0.3">
      <c r="A3" s="2" t="s">
        <v>19</v>
      </c>
      <c r="B3" t="s">
        <v>21</v>
      </c>
    </row>
    <row r="4" spans="1:2" x14ac:dyDescent="0.3">
      <c r="A4" s="3" t="s">
        <v>10</v>
      </c>
      <c r="B4" s="22">
        <v>182000</v>
      </c>
    </row>
    <row r="5" spans="1:2" x14ac:dyDescent="0.3">
      <c r="A5" s="3" t="s">
        <v>16</v>
      </c>
      <c r="B5" s="22">
        <v>112500</v>
      </c>
    </row>
    <row r="6" spans="1:2" x14ac:dyDescent="0.3">
      <c r="A6" s="3" t="s">
        <v>13</v>
      </c>
      <c r="B6" s="22">
        <v>62500</v>
      </c>
    </row>
    <row r="7" spans="1:2" x14ac:dyDescent="0.3">
      <c r="A7" s="3" t="s">
        <v>39</v>
      </c>
      <c r="B7" s="22"/>
    </row>
    <row r="8" spans="1:2" x14ac:dyDescent="0.3">
      <c r="A8" s="3" t="s">
        <v>20</v>
      </c>
      <c r="B8" s="22">
        <v>357000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CA35D-E6E7-437A-8FA8-2544DF33320D}">
  <dimension ref="A1:B6"/>
  <sheetViews>
    <sheetView workbookViewId="0">
      <selection activeCell="B20" sqref="B20"/>
    </sheetView>
  </sheetViews>
  <sheetFormatPr defaultRowHeight="14.4" x14ac:dyDescent="0.3"/>
  <cols>
    <col min="1" max="1" width="12.5546875" bestFit="1" customWidth="1"/>
    <col min="2" max="2" width="19.77734375" bestFit="1" customWidth="1"/>
  </cols>
  <sheetData>
    <row r="1" spans="1:2" x14ac:dyDescent="0.3">
      <c r="A1" s="2" t="s">
        <v>19</v>
      </c>
      <c r="B1" t="s">
        <v>21</v>
      </c>
    </row>
    <row r="2" spans="1:2" x14ac:dyDescent="0.3">
      <c r="A2" s="3" t="s">
        <v>10</v>
      </c>
      <c r="B2" s="22">
        <v>182000</v>
      </c>
    </row>
    <row r="3" spans="1:2" x14ac:dyDescent="0.3">
      <c r="A3" s="3" t="s">
        <v>16</v>
      </c>
      <c r="B3" s="22">
        <v>112500</v>
      </c>
    </row>
    <row r="4" spans="1:2" x14ac:dyDescent="0.3">
      <c r="A4" s="3" t="s">
        <v>13</v>
      </c>
      <c r="B4" s="22">
        <v>62500</v>
      </c>
    </row>
    <row r="5" spans="1:2" x14ac:dyDescent="0.3">
      <c r="A5" s="3" t="s">
        <v>39</v>
      </c>
      <c r="B5" s="22"/>
    </row>
    <row r="6" spans="1:2" x14ac:dyDescent="0.3">
      <c r="A6" s="3" t="s">
        <v>20</v>
      </c>
      <c r="B6" s="22">
        <v>357000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C91F6-0FA5-454D-AC92-FAFB705FA988}">
  <dimension ref="A3:B9"/>
  <sheetViews>
    <sheetView zoomScale="76" workbookViewId="0">
      <selection activeCell="B29" sqref="B29"/>
    </sheetView>
  </sheetViews>
  <sheetFormatPr defaultRowHeight="14.4" x14ac:dyDescent="0.3"/>
  <cols>
    <col min="1" max="1" width="13.5546875" bestFit="1" customWidth="1"/>
    <col min="2" max="3" width="20.109375" bestFit="1" customWidth="1"/>
  </cols>
  <sheetData>
    <row r="3" spans="1:2" x14ac:dyDescent="0.3">
      <c r="A3" s="2" t="s">
        <v>19</v>
      </c>
      <c r="B3" t="s">
        <v>21</v>
      </c>
    </row>
    <row r="4" spans="1:2" x14ac:dyDescent="0.3">
      <c r="A4" s="3" t="s">
        <v>15</v>
      </c>
      <c r="B4" s="22">
        <v>19500</v>
      </c>
    </row>
    <row r="5" spans="1:2" x14ac:dyDescent="0.3">
      <c r="A5" s="3" t="s">
        <v>8</v>
      </c>
      <c r="B5" s="22">
        <v>240000</v>
      </c>
    </row>
    <row r="6" spans="1:2" x14ac:dyDescent="0.3">
      <c r="A6" s="3" t="s">
        <v>14</v>
      </c>
      <c r="B6" s="22">
        <v>84000</v>
      </c>
    </row>
    <row r="7" spans="1:2" x14ac:dyDescent="0.3">
      <c r="A7" s="3" t="s">
        <v>11</v>
      </c>
      <c r="B7" s="22">
        <v>13500</v>
      </c>
    </row>
    <row r="8" spans="1:2" x14ac:dyDescent="0.3">
      <c r="A8" s="3" t="s">
        <v>39</v>
      </c>
      <c r="B8" s="22"/>
    </row>
    <row r="9" spans="1:2" x14ac:dyDescent="0.3">
      <c r="A9" s="3" t="s">
        <v>20</v>
      </c>
      <c r="B9" s="22">
        <v>357000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2F27-AB8B-42A2-A62C-001B5F95A7B3}">
  <dimension ref="A1:I43"/>
  <sheetViews>
    <sheetView tabSelected="1" zoomScale="60" zoomScaleNormal="91" workbookViewId="0">
      <selection activeCell="U23" sqref="U23"/>
    </sheetView>
  </sheetViews>
  <sheetFormatPr defaultRowHeight="14.4" x14ac:dyDescent="0.3"/>
  <cols>
    <col min="1" max="1" width="14.88671875" bestFit="1" customWidth="1"/>
    <col min="3" max="3" width="46" customWidth="1"/>
    <col min="4" max="4" width="20.88671875" customWidth="1"/>
    <col min="5" max="5" width="15.109375" customWidth="1"/>
    <col min="7" max="7" width="15.33203125" customWidth="1"/>
    <col min="9" max="9" width="12" customWidth="1"/>
  </cols>
  <sheetData>
    <row r="1" spans="1:9" ht="25.8" customHeight="1" x14ac:dyDescent="0.5">
      <c r="A1" s="20" t="s">
        <v>22</v>
      </c>
      <c r="B1" s="21"/>
      <c r="C1" s="21"/>
      <c r="D1" s="21"/>
    </row>
    <row r="3" spans="1:9" x14ac:dyDescent="0.3">
      <c r="A3" s="11" t="s">
        <v>17</v>
      </c>
      <c r="B3" s="4"/>
      <c r="C3" s="11" t="s">
        <v>18</v>
      </c>
      <c r="D3" s="4"/>
      <c r="E3" s="11" t="s">
        <v>23</v>
      </c>
      <c r="F3" s="4"/>
      <c r="G3" s="11" t="s">
        <v>24</v>
      </c>
      <c r="H3" s="4"/>
      <c r="I3" s="11" t="s">
        <v>26</v>
      </c>
    </row>
    <row r="4" spans="1:9" ht="18" x14ac:dyDescent="0.35">
      <c r="A4" s="6">
        <f>Analysis!B2</f>
        <v>357000</v>
      </c>
      <c r="B4" s="5"/>
      <c r="C4" s="6">
        <f>Analysis!B3</f>
        <v>41100</v>
      </c>
      <c r="D4" s="5"/>
      <c r="E4" s="6">
        <f>Analysis!B4</f>
        <v>15</v>
      </c>
      <c r="F4" s="5"/>
      <c r="G4" s="6">
        <f>Analysis!B5</f>
        <v>53</v>
      </c>
      <c r="H4" s="5"/>
      <c r="I4" s="19">
        <f>Analysis!B6</f>
        <v>0.11512605042016806</v>
      </c>
    </row>
    <row r="34" spans="1:4" x14ac:dyDescent="0.3">
      <c r="A34" s="11" t="s">
        <v>30</v>
      </c>
      <c r="B34" s="12"/>
    </row>
    <row r="35" spans="1:4" ht="18" x14ac:dyDescent="0.3">
      <c r="A35" s="13" t="s">
        <v>32</v>
      </c>
    </row>
    <row r="36" spans="1:4" x14ac:dyDescent="0.3">
      <c r="A36" s="9"/>
    </row>
    <row r="37" spans="1:4" ht="18" x14ac:dyDescent="0.3">
      <c r="A37" s="13" t="s">
        <v>33</v>
      </c>
    </row>
    <row r="38" spans="1:4" x14ac:dyDescent="0.3">
      <c r="A38" s="9"/>
    </row>
    <row r="39" spans="1:4" ht="18" x14ac:dyDescent="0.3">
      <c r="A39" s="13" t="s">
        <v>38</v>
      </c>
      <c r="B39" s="13"/>
      <c r="C39" s="13"/>
      <c r="D39" s="23"/>
    </row>
    <row r="40" spans="1:4" x14ac:dyDescent="0.3">
      <c r="A40" s="9"/>
    </row>
    <row r="41" spans="1:4" ht="18" x14ac:dyDescent="0.35">
      <c r="A41" s="25" t="s">
        <v>37</v>
      </c>
      <c r="B41" s="8"/>
      <c r="C41" s="8"/>
      <c r="D41" s="24"/>
    </row>
    <row r="42" spans="1:4" x14ac:dyDescent="0.3">
      <c r="A42" s="9"/>
    </row>
    <row r="43" spans="1:4" ht="18" x14ac:dyDescent="0.3">
      <c r="A43" s="8" t="s">
        <v>31</v>
      </c>
    </row>
  </sheetData>
  <mergeCells count="1">
    <mergeCell ref="A1:D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191CA-1080-44B1-9BF4-64EC54CC5FB1}">
  <dimension ref="A1:B10"/>
  <sheetViews>
    <sheetView workbookViewId="0">
      <selection activeCell="A8" sqref="A8"/>
    </sheetView>
  </sheetViews>
  <sheetFormatPr defaultRowHeight="14.4" x14ac:dyDescent="0.3"/>
  <cols>
    <col min="1" max="1" width="14.21875" customWidth="1"/>
    <col min="2" max="2" width="11.88671875" bestFit="1" customWidth="1"/>
  </cols>
  <sheetData>
    <row r="1" spans="1:2" x14ac:dyDescent="0.3">
      <c r="A1" t="s">
        <v>34</v>
      </c>
      <c r="B1" t="s">
        <v>35</v>
      </c>
    </row>
    <row r="2" spans="1:2" x14ac:dyDescent="0.3">
      <c r="A2" t="s">
        <v>17</v>
      </c>
      <c r="B2" s="15">
        <f>SUM(Raw_Data!G2:G16)</f>
        <v>357000</v>
      </c>
    </row>
    <row r="3" spans="1:2" x14ac:dyDescent="0.3">
      <c r="A3" t="s">
        <v>18</v>
      </c>
      <c r="B3" s="16">
        <f>SUM(Raw_Data!H2:H16)</f>
        <v>41100</v>
      </c>
    </row>
    <row r="4" spans="1:2" x14ac:dyDescent="0.3">
      <c r="A4" t="s">
        <v>23</v>
      </c>
      <c r="B4" s="17">
        <f>COUNTA(Raw_Data!A2:A16)</f>
        <v>15</v>
      </c>
    </row>
    <row r="5" spans="1:2" x14ac:dyDescent="0.3">
      <c r="A5" t="s">
        <v>24</v>
      </c>
      <c r="B5">
        <f>SUM(Raw_Data!F2:F16)</f>
        <v>53</v>
      </c>
    </row>
    <row r="6" spans="1:2" x14ac:dyDescent="0.3">
      <c r="A6" t="s">
        <v>26</v>
      </c>
      <c r="B6" s="18">
        <f>IFERROR(B3/B2,0)</f>
        <v>0.11512605042016806</v>
      </c>
    </row>
    <row r="8" spans="1:2" x14ac:dyDescent="0.3">
      <c r="B8">
        <f>SUMIFS(Raw_Data!G2:G16,Raw_Data!B2:B16,"&gt;="&amp;DATE(2026,1,1),Raw_Data!B2:B16,"&lt;"&amp;DATE(2026,2,1))</f>
        <v>139000</v>
      </c>
    </row>
    <row r="9" spans="1:2" x14ac:dyDescent="0.3">
      <c r="B9">
        <f>SUMIFS(Raw_Data!G2:G16,Raw_Data!B2:B16,"&gt;="&amp;DATE(2026,2,1),Raw_Data!B2:B16,"&lt;"&amp;DATE(2026,3,1))</f>
        <v>75000</v>
      </c>
    </row>
    <row r="10" spans="1:2" x14ac:dyDescent="0.3">
      <c r="B10">
        <f>SUMIFS(Raw_Data!G2:G16,Raw_Data!B2:B16,"&gt;="&amp;DATE(2026,3,1),Raw_Data!B2:B16,"&lt;"&amp;DATE(2026,4,1))</f>
        <v>143000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3709D-0F58-4ED4-95C6-12E556868B1E}">
  <dimension ref="A3:B8"/>
  <sheetViews>
    <sheetView workbookViewId="0">
      <selection activeCell="B5" sqref="B5"/>
    </sheetView>
  </sheetViews>
  <sheetFormatPr defaultRowHeight="14.4" x14ac:dyDescent="0.3"/>
  <cols>
    <col min="1" max="1" width="12.5546875" bestFit="1" customWidth="1"/>
    <col min="2" max="2" width="19.77734375" bestFit="1" customWidth="1"/>
    <col min="3" max="8" width="5" bestFit="1" customWidth="1"/>
    <col min="9" max="9" width="10.77734375" bestFit="1" customWidth="1"/>
  </cols>
  <sheetData>
    <row r="3" spans="1:2" x14ac:dyDescent="0.3">
      <c r="A3" s="2" t="s">
        <v>19</v>
      </c>
      <c r="B3" t="s">
        <v>21</v>
      </c>
    </row>
    <row r="4" spans="1:2" x14ac:dyDescent="0.3">
      <c r="A4" s="3" t="s">
        <v>40</v>
      </c>
      <c r="B4" s="22"/>
    </row>
    <row r="5" spans="1:2" x14ac:dyDescent="0.3">
      <c r="A5" s="3" t="s">
        <v>27</v>
      </c>
      <c r="B5" s="22">
        <v>139000</v>
      </c>
    </row>
    <row r="6" spans="1:2" x14ac:dyDescent="0.3">
      <c r="A6" s="3" t="s">
        <v>28</v>
      </c>
      <c r="B6" s="22">
        <v>75000</v>
      </c>
    </row>
    <row r="7" spans="1:2" x14ac:dyDescent="0.3">
      <c r="A7" s="3" t="s">
        <v>29</v>
      </c>
      <c r="B7" s="22">
        <v>143000</v>
      </c>
    </row>
    <row r="8" spans="1:2" x14ac:dyDescent="0.3">
      <c r="A8" s="3" t="s">
        <v>20</v>
      </c>
      <c r="B8" s="22">
        <v>357000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7D882-39C4-46C8-8E98-F0FE0FFB03B1}">
  <dimension ref="A3:B7"/>
  <sheetViews>
    <sheetView topLeftCell="A2" workbookViewId="0">
      <selection activeCell="A3" sqref="A3"/>
    </sheetView>
  </sheetViews>
  <sheetFormatPr defaultRowHeight="14.4" x14ac:dyDescent="0.3"/>
  <cols>
    <col min="1" max="1" width="12.5546875" bestFit="1" customWidth="1"/>
    <col min="2" max="2" width="19.77734375" bestFit="1" customWidth="1"/>
  </cols>
  <sheetData>
    <row r="3" spans="1:2" x14ac:dyDescent="0.3">
      <c r="A3" s="2" t="s">
        <v>19</v>
      </c>
      <c r="B3" t="s">
        <v>21</v>
      </c>
    </row>
    <row r="4" spans="1:2" x14ac:dyDescent="0.3">
      <c r="A4" s="3" t="s">
        <v>12</v>
      </c>
      <c r="B4" s="22">
        <v>33000</v>
      </c>
    </row>
    <row r="5" spans="1:2" x14ac:dyDescent="0.3">
      <c r="A5" s="3" t="s">
        <v>9</v>
      </c>
      <c r="B5" s="22">
        <v>324000</v>
      </c>
    </row>
    <row r="6" spans="1:2" x14ac:dyDescent="0.3">
      <c r="A6" s="3" t="s">
        <v>39</v>
      </c>
      <c r="B6" s="22"/>
    </row>
    <row r="7" spans="1:2" x14ac:dyDescent="0.3">
      <c r="A7" s="3" t="s">
        <v>20</v>
      </c>
      <c r="B7" s="22">
        <v>357000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6E950-8730-4B23-A820-59EC1FDC0EC1}">
  <dimension ref="A1:J33"/>
  <sheetViews>
    <sheetView zoomScale="92" workbookViewId="0">
      <selection activeCell="A16" sqref="A16:I16"/>
    </sheetView>
  </sheetViews>
  <sheetFormatPr defaultRowHeight="14.4" x14ac:dyDescent="0.3"/>
  <cols>
    <col min="1" max="1" width="10.77734375" bestFit="1" customWidth="1"/>
    <col min="2" max="2" width="12.88671875" bestFit="1" customWidth="1"/>
    <col min="3" max="3" width="9.88671875" bestFit="1" customWidth="1"/>
    <col min="4" max="4" width="10.77734375" bestFit="1" customWidth="1"/>
    <col min="5" max="5" width="10.21875" bestFit="1" customWidth="1"/>
    <col min="6" max="6" width="10.5546875" bestFit="1" customWidth="1"/>
    <col min="7" max="7" width="15.44140625" bestFit="1" customWidth="1"/>
    <col min="8" max="8" width="7.88671875" bestFit="1" customWidth="1"/>
    <col min="10" max="10" width="11.88671875" customWidth="1"/>
  </cols>
  <sheetData>
    <row r="1" spans="1:10" x14ac:dyDescent="0.3">
      <c r="A1" t="s">
        <v>0</v>
      </c>
      <c r="B1" t="s">
        <v>1</v>
      </c>
      <c r="C1" t="s">
        <v>2</v>
      </c>
      <c r="D1" t="s">
        <v>3</v>
      </c>
      <c r="E1" t="s">
        <v>4</v>
      </c>
      <c r="F1" t="s">
        <v>5</v>
      </c>
      <c r="G1" t="s">
        <v>6</v>
      </c>
      <c r="H1" t="s">
        <v>7</v>
      </c>
      <c r="I1" t="s">
        <v>25</v>
      </c>
      <c r="J1" s="10" t="s">
        <v>36</v>
      </c>
    </row>
    <row r="2" spans="1:10" x14ac:dyDescent="0.3">
      <c r="A2">
        <v>1001</v>
      </c>
      <c r="B2" s="1">
        <v>46027</v>
      </c>
      <c r="C2" t="s">
        <v>8</v>
      </c>
      <c r="D2" t="s">
        <v>9</v>
      </c>
      <c r="E2" t="s">
        <v>10</v>
      </c>
      <c r="F2">
        <v>2</v>
      </c>
      <c r="G2">
        <v>80000</v>
      </c>
      <c r="H2">
        <v>8000</v>
      </c>
      <c r="I2" s="7">
        <f t="shared" ref="I2:I16" si="0">IFERROR(H2/G2,0)</f>
        <v>0.1</v>
      </c>
      <c r="J2" t="str">
        <f>IF(H2&gt;=3000,"High Profit","Low Profit")</f>
        <v>High Profit</v>
      </c>
    </row>
    <row r="3" spans="1:10" x14ac:dyDescent="0.3">
      <c r="A3">
        <v>1002</v>
      </c>
      <c r="B3" s="1">
        <v>46028</v>
      </c>
      <c r="C3" t="s">
        <v>11</v>
      </c>
      <c r="D3" t="s">
        <v>12</v>
      </c>
      <c r="E3" t="s">
        <v>13</v>
      </c>
      <c r="F3">
        <v>5</v>
      </c>
      <c r="G3">
        <v>2500</v>
      </c>
      <c r="H3">
        <v>500</v>
      </c>
      <c r="I3" s="7">
        <f t="shared" si="0"/>
        <v>0.2</v>
      </c>
      <c r="J3" t="str">
        <f t="shared" ref="J3:J15" si="1">IF(H3&gt;=3000,"High Profit","Low Profit")</f>
        <v>Low Profit</v>
      </c>
    </row>
    <row r="4" spans="1:10" x14ac:dyDescent="0.3">
      <c r="A4">
        <v>1003</v>
      </c>
      <c r="B4" s="1">
        <v>46029</v>
      </c>
      <c r="C4" t="s">
        <v>14</v>
      </c>
      <c r="D4" t="s">
        <v>9</v>
      </c>
      <c r="E4" t="s">
        <v>10</v>
      </c>
      <c r="F4">
        <v>1</v>
      </c>
      <c r="G4">
        <v>12000</v>
      </c>
      <c r="H4">
        <v>1500</v>
      </c>
      <c r="I4" s="7">
        <f t="shared" si="0"/>
        <v>0.125</v>
      </c>
      <c r="J4" t="str">
        <f t="shared" si="1"/>
        <v>Low Profit</v>
      </c>
    </row>
    <row r="5" spans="1:10" x14ac:dyDescent="0.3">
      <c r="A5">
        <v>1004</v>
      </c>
      <c r="B5" s="1">
        <v>46030</v>
      </c>
      <c r="C5" t="s">
        <v>15</v>
      </c>
      <c r="D5" t="s">
        <v>12</v>
      </c>
      <c r="E5" t="s">
        <v>16</v>
      </c>
      <c r="F5">
        <v>3</v>
      </c>
      <c r="G5">
        <v>4500</v>
      </c>
      <c r="H5">
        <v>900</v>
      </c>
      <c r="I5" s="7">
        <f t="shared" si="0"/>
        <v>0.2</v>
      </c>
      <c r="J5" t="str">
        <f t="shared" si="1"/>
        <v>Low Profit</v>
      </c>
    </row>
    <row r="6" spans="1:10" x14ac:dyDescent="0.3">
      <c r="A6">
        <v>1005</v>
      </c>
      <c r="B6" s="1">
        <v>46032</v>
      </c>
      <c r="C6" t="s">
        <v>8</v>
      </c>
      <c r="D6" t="s">
        <v>9</v>
      </c>
      <c r="E6" t="s">
        <v>13</v>
      </c>
      <c r="F6">
        <v>1</v>
      </c>
      <c r="G6">
        <v>40000</v>
      </c>
      <c r="H6">
        <v>4000</v>
      </c>
      <c r="I6" s="7">
        <f t="shared" si="0"/>
        <v>0.1</v>
      </c>
      <c r="J6" t="str">
        <f t="shared" si="1"/>
        <v>High Profit</v>
      </c>
    </row>
    <row r="7" spans="1:10" x14ac:dyDescent="0.3">
      <c r="A7">
        <v>1006</v>
      </c>
      <c r="B7" s="1">
        <v>46055</v>
      </c>
      <c r="C7" t="s">
        <v>11</v>
      </c>
      <c r="D7" t="s">
        <v>12</v>
      </c>
      <c r="E7" t="s">
        <v>10</v>
      </c>
      <c r="F7">
        <v>10</v>
      </c>
      <c r="G7">
        <v>5000</v>
      </c>
      <c r="H7">
        <v>1000</v>
      </c>
      <c r="I7" s="7">
        <f t="shared" si="0"/>
        <v>0.2</v>
      </c>
      <c r="J7" t="str">
        <f t="shared" si="1"/>
        <v>Low Profit</v>
      </c>
    </row>
    <row r="8" spans="1:10" x14ac:dyDescent="0.3">
      <c r="A8">
        <v>1007</v>
      </c>
      <c r="B8" s="1">
        <v>46058</v>
      </c>
      <c r="C8" t="s">
        <v>14</v>
      </c>
      <c r="D8" t="s">
        <v>9</v>
      </c>
      <c r="E8" t="s">
        <v>16</v>
      </c>
      <c r="F8">
        <v>2</v>
      </c>
      <c r="G8">
        <v>24000</v>
      </c>
      <c r="H8">
        <v>3000</v>
      </c>
      <c r="I8" s="7">
        <f t="shared" si="0"/>
        <v>0.125</v>
      </c>
      <c r="J8" t="str">
        <f t="shared" si="1"/>
        <v>High Profit</v>
      </c>
    </row>
    <row r="9" spans="1:10" x14ac:dyDescent="0.3">
      <c r="A9">
        <v>1008</v>
      </c>
      <c r="B9" s="1">
        <v>46064</v>
      </c>
      <c r="C9" t="s">
        <v>15</v>
      </c>
      <c r="D9" t="s">
        <v>12</v>
      </c>
      <c r="E9" t="s">
        <v>13</v>
      </c>
      <c r="F9">
        <v>4</v>
      </c>
      <c r="G9">
        <v>6000</v>
      </c>
      <c r="H9">
        <v>1200</v>
      </c>
      <c r="I9" s="7">
        <f t="shared" si="0"/>
        <v>0.2</v>
      </c>
      <c r="J9" t="str">
        <f t="shared" si="1"/>
        <v>Low Profit</v>
      </c>
    </row>
    <row r="10" spans="1:10" x14ac:dyDescent="0.3">
      <c r="A10">
        <v>1009</v>
      </c>
      <c r="B10" s="1">
        <v>46068</v>
      </c>
      <c r="C10" t="s">
        <v>8</v>
      </c>
      <c r="D10" t="s">
        <v>9</v>
      </c>
      <c r="E10" t="s">
        <v>10</v>
      </c>
      <c r="F10">
        <v>1</v>
      </c>
      <c r="G10">
        <v>40000</v>
      </c>
      <c r="H10">
        <v>4000</v>
      </c>
      <c r="I10" s="7">
        <f t="shared" si="0"/>
        <v>0.1</v>
      </c>
      <c r="J10" t="str">
        <f t="shared" si="1"/>
        <v>High Profit</v>
      </c>
    </row>
    <row r="11" spans="1:10" x14ac:dyDescent="0.3">
      <c r="A11">
        <v>1010</v>
      </c>
      <c r="B11" s="1">
        <v>46082</v>
      </c>
      <c r="C11" t="s">
        <v>11</v>
      </c>
      <c r="D11" t="s">
        <v>12</v>
      </c>
      <c r="E11" t="s">
        <v>16</v>
      </c>
      <c r="F11">
        <v>8</v>
      </c>
      <c r="G11">
        <v>4000</v>
      </c>
      <c r="H11">
        <v>800</v>
      </c>
      <c r="I11" s="7">
        <f t="shared" si="0"/>
        <v>0.2</v>
      </c>
      <c r="J11" t="str">
        <f t="shared" si="1"/>
        <v>Low Profit</v>
      </c>
    </row>
    <row r="12" spans="1:10" x14ac:dyDescent="0.3">
      <c r="A12">
        <v>1011</v>
      </c>
      <c r="B12" s="1">
        <v>46085</v>
      </c>
      <c r="C12" t="s">
        <v>14</v>
      </c>
      <c r="D12" t="s">
        <v>9</v>
      </c>
      <c r="E12" t="s">
        <v>13</v>
      </c>
      <c r="F12">
        <v>1</v>
      </c>
      <c r="G12">
        <v>12000</v>
      </c>
      <c r="H12">
        <v>1500</v>
      </c>
      <c r="I12" s="7">
        <f t="shared" si="0"/>
        <v>0.125</v>
      </c>
      <c r="J12" t="str">
        <f t="shared" si="1"/>
        <v>Low Profit</v>
      </c>
    </row>
    <row r="13" spans="1:10" x14ac:dyDescent="0.3">
      <c r="A13">
        <v>1012</v>
      </c>
      <c r="B13" s="1">
        <v>46089</v>
      </c>
      <c r="C13" t="s">
        <v>15</v>
      </c>
      <c r="D13" t="s">
        <v>12</v>
      </c>
      <c r="E13" t="s">
        <v>10</v>
      </c>
      <c r="F13">
        <v>6</v>
      </c>
      <c r="G13">
        <v>9000</v>
      </c>
      <c r="H13">
        <v>1800</v>
      </c>
      <c r="I13" s="7">
        <f t="shared" si="0"/>
        <v>0.2</v>
      </c>
      <c r="J13" t="str">
        <f t="shared" si="1"/>
        <v>Low Profit</v>
      </c>
    </row>
    <row r="14" spans="1:10" x14ac:dyDescent="0.3">
      <c r="A14">
        <v>1013</v>
      </c>
      <c r="B14" s="1">
        <v>46093</v>
      </c>
      <c r="C14" t="s">
        <v>8</v>
      </c>
      <c r="D14" t="s">
        <v>9</v>
      </c>
      <c r="E14" t="s">
        <v>16</v>
      </c>
      <c r="F14">
        <v>2</v>
      </c>
      <c r="G14">
        <v>80000</v>
      </c>
      <c r="H14">
        <v>8000</v>
      </c>
      <c r="I14" s="7">
        <f t="shared" si="0"/>
        <v>0.1</v>
      </c>
      <c r="J14" t="str">
        <f t="shared" si="1"/>
        <v>High Profit</v>
      </c>
    </row>
    <row r="15" spans="1:10" x14ac:dyDescent="0.3">
      <c r="A15">
        <v>1014</v>
      </c>
      <c r="B15" s="1">
        <v>46099</v>
      </c>
      <c r="C15" t="s">
        <v>11</v>
      </c>
      <c r="D15" t="s">
        <v>12</v>
      </c>
      <c r="E15" t="s">
        <v>13</v>
      </c>
      <c r="F15">
        <v>4</v>
      </c>
      <c r="G15">
        <v>2000</v>
      </c>
      <c r="H15">
        <v>400</v>
      </c>
      <c r="I15" s="7">
        <f t="shared" si="0"/>
        <v>0.2</v>
      </c>
      <c r="J15" t="str">
        <f t="shared" si="1"/>
        <v>Low Profit</v>
      </c>
    </row>
    <row r="16" spans="1:10" x14ac:dyDescent="0.3">
      <c r="A16">
        <v>1015</v>
      </c>
      <c r="B16" s="1">
        <v>46101</v>
      </c>
      <c r="C16" t="s">
        <v>14</v>
      </c>
      <c r="D16" t="s">
        <v>9</v>
      </c>
      <c r="E16" t="s">
        <v>10</v>
      </c>
      <c r="F16">
        <v>3</v>
      </c>
      <c r="G16">
        <v>36000</v>
      </c>
      <c r="H16">
        <v>4500</v>
      </c>
      <c r="I16" s="7">
        <f t="shared" si="0"/>
        <v>0.125</v>
      </c>
      <c r="J16" t="str">
        <f>IF(H16&gt;=3000,"High Profit","Low Profit")</f>
        <v>High Profit</v>
      </c>
    </row>
    <row r="17" spans="1:2" x14ac:dyDescent="0.3">
      <c r="A17" t="s">
        <v>25</v>
      </c>
      <c r="B17" s="1"/>
    </row>
    <row r="18" spans="1:2" x14ac:dyDescent="0.3">
      <c r="A18" s="14">
        <f>H2/G2</f>
        <v>0.1</v>
      </c>
      <c r="B18" s="1"/>
    </row>
    <row r="19" spans="1:2" x14ac:dyDescent="0.3">
      <c r="A19" s="7">
        <f>H3/G3</f>
        <v>0.2</v>
      </c>
    </row>
    <row r="20" spans="1:2" x14ac:dyDescent="0.3">
      <c r="A20" s="7">
        <f>H4/G4</f>
        <v>0.125</v>
      </c>
    </row>
    <row r="21" spans="1:2" x14ac:dyDescent="0.3">
      <c r="A21" s="7">
        <f>H5/G5</f>
        <v>0.2</v>
      </c>
    </row>
    <row r="22" spans="1:2" x14ac:dyDescent="0.3">
      <c r="A22" s="7">
        <f>H6/G6</f>
        <v>0.1</v>
      </c>
    </row>
    <row r="23" spans="1:2" x14ac:dyDescent="0.3">
      <c r="A23" s="7">
        <f>H7/G7</f>
        <v>0.2</v>
      </c>
    </row>
    <row r="24" spans="1:2" x14ac:dyDescent="0.3">
      <c r="A24" s="7">
        <f>H8/G8</f>
        <v>0.125</v>
      </c>
    </row>
    <row r="25" spans="1:2" x14ac:dyDescent="0.3">
      <c r="A25" s="7">
        <f>H9/G9</f>
        <v>0.2</v>
      </c>
    </row>
    <row r="26" spans="1:2" x14ac:dyDescent="0.3">
      <c r="A26" s="7">
        <f>H10/G10</f>
        <v>0.1</v>
      </c>
    </row>
    <row r="27" spans="1:2" x14ac:dyDescent="0.3">
      <c r="A27" s="7">
        <f>H11/G11</f>
        <v>0.2</v>
      </c>
    </row>
    <row r="28" spans="1:2" x14ac:dyDescent="0.3">
      <c r="A28" s="7">
        <f>H12/G12</f>
        <v>0.125</v>
      </c>
    </row>
    <row r="29" spans="1:2" x14ac:dyDescent="0.3">
      <c r="A29" s="7">
        <f>H13/G13</f>
        <v>0.2</v>
      </c>
    </row>
    <row r="30" spans="1:2" x14ac:dyDescent="0.3">
      <c r="A30" s="7">
        <f>H14/G14</f>
        <v>0.1</v>
      </c>
    </row>
    <row r="31" spans="1:2" x14ac:dyDescent="0.3">
      <c r="A31" s="7">
        <f>H15/G15</f>
        <v>0.2</v>
      </c>
    </row>
    <row r="32" spans="1:2" x14ac:dyDescent="0.3">
      <c r="A32" s="7">
        <f>H16/G16</f>
        <v>0.125</v>
      </c>
    </row>
    <row r="33" spans="1:1" x14ac:dyDescent="0.3">
      <c r="A33" s="7"/>
    </row>
  </sheetData>
  <conditionalFormatting sqref="H2:H16">
    <cfRule type="dataBar" priority="5">
      <dataBar>
        <cfvo type="min"/>
        <cfvo type="max"/>
        <color rgb="FF638EC6"/>
      </dataBar>
      <extLst>
        <ext xmlns:x14="http://schemas.microsoft.com/office/spreadsheetml/2009/9/main" uri="{B025F937-C7B1-47D3-B67F-A62EFF666E3E}">
          <x14:id>{FF5D7264-FCEE-4CEE-91B7-01A7B9FF09FD}</x14:id>
        </ext>
      </extLst>
    </cfRule>
  </conditionalFormatting>
  <conditionalFormatting sqref="J2:J16">
    <cfRule type="containsText" dxfId="3" priority="1" operator="containsText" text="High Profit">
      <formula>NOT(ISERROR(SEARCH("High Profit",J2)))</formula>
    </cfRule>
    <cfRule type="containsText" dxfId="2" priority="2" operator="containsText" text="Low Profit">
      <formula>NOT(ISERROR(SEARCH("Low Profit",J2)))</formula>
    </cfRule>
    <cfRule type="containsText" dxfId="1" priority="3" operator="containsText" text="High Profit">
      <formula>NOT(ISERROR(SEARCH("High Profit",J2)))</formula>
    </cfRule>
    <cfRule type="containsText" dxfId="0" priority="4" operator="containsText" text="High Profit">
      <formula>NOT(ISERROR(SEARCH("High Profit",J2)))</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FF5D7264-FCEE-4CEE-91B7-01A7B9FF09FD}">
            <x14:dataBar minLength="0" maxLength="100" gradient="0">
              <x14:cfvo type="autoMin"/>
              <x14:cfvo type="autoMax"/>
              <x14:negativeFillColor rgb="FFFF0000"/>
              <x14:axisColor rgb="FF000000"/>
            </x14:dataBar>
          </x14:cfRule>
          <xm:sqref>H2:H16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26A462-70CC-4B06-A5A5-EF454CAE0C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Sales_by_Product</vt:lpstr>
      <vt:lpstr>Sales_by_Region</vt:lpstr>
      <vt:lpstr>Profit_by_Product</vt:lpstr>
      <vt:lpstr>Dash board</vt:lpstr>
      <vt:lpstr>Analysis</vt:lpstr>
      <vt:lpstr>Sheet1</vt:lpstr>
      <vt:lpstr>Sheet7</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vaddienenivvaishnavi@gmail.com</dc:creator>
  <cp:lastModifiedBy>vaddienenivvaishnavi@gmail.com</cp:lastModifiedBy>
  <dcterms:created xsi:type="dcterms:W3CDTF">2026-10-15T12:27:07Z</dcterms:created>
  <dcterms:modified xsi:type="dcterms:W3CDTF">2026-10-26T16:11:40Z</dcterms:modified>
</cp:coreProperties>
</file>